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1SECOM\Desktop\M. 마켓센싱레포트\"/>
    </mc:Choice>
  </mc:AlternateContent>
  <xr:revisionPtr revIDLastSave="0" documentId="8_{E1F3F786-D435-4BC4-8FC7-5A9FD2A18DF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00.사용안내" sheetId="1" r:id="rId1"/>
    <sheet name="01.과제 개요" sheetId="2" r:id="rId2"/>
    <sheet name="02.L6 세분화" sheetId="3" r:id="rId3"/>
    <sheet name="03.전체 프로세스 목록" sheetId="4" r:id="rId4"/>
    <sheet name="04.코드표" sheetId="5" r:id="rId5"/>
  </sheets>
  <definedNames>
    <definedName name="_xlnm._FilterDatabase" localSheetId="2" hidden="1">'02.L6 세분화'!$B$5:$AU$62</definedName>
    <definedName name="_xlnm._FilterDatabase" localSheetId="3" hidden="1">'03.전체 프로세스 목록'!$B$5:$K$213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C62" i="3" l="1"/>
  <c r="BB62" i="3"/>
  <c r="BA62" i="3"/>
  <c r="AZ62" i="3"/>
  <c r="AY62" i="3"/>
  <c r="AX62" i="3"/>
  <c r="AW62" i="3"/>
  <c r="AV62" i="3"/>
  <c r="AS62" i="3"/>
  <c r="AR62" i="3"/>
  <c r="AQ62" i="3"/>
  <c r="AP62" i="3"/>
  <c r="AK62" i="3"/>
  <c r="AJ62" i="3"/>
  <c r="AI62" i="3"/>
  <c r="AH62" i="3"/>
  <c r="K62" i="3"/>
  <c r="BC61" i="3"/>
  <c r="BB61" i="3"/>
  <c r="BA61" i="3"/>
  <c r="AZ61" i="3"/>
  <c r="AY61" i="3"/>
  <c r="AX61" i="3"/>
  <c r="AW61" i="3"/>
  <c r="AV61" i="3"/>
  <c r="AS61" i="3"/>
  <c r="AR61" i="3"/>
  <c r="AQ61" i="3"/>
  <c r="AP61" i="3"/>
  <c r="AK61" i="3"/>
  <c r="AJ61" i="3"/>
  <c r="AI61" i="3"/>
  <c r="AH61" i="3"/>
  <c r="K61" i="3"/>
  <c r="BC60" i="3"/>
  <c r="BB60" i="3"/>
  <c r="BA60" i="3"/>
  <c r="AZ60" i="3"/>
  <c r="AY60" i="3"/>
  <c r="AX60" i="3"/>
  <c r="AW60" i="3"/>
  <c r="AV60" i="3"/>
  <c r="AS60" i="3"/>
  <c r="AR60" i="3"/>
  <c r="AQ60" i="3"/>
  <c r="AP60" i="3"/>
  <c r="AK60" i="3"/>
  <c r="AJ60" i="3"/>
  <c r="AI60" i="3"/>
  <c r="AH60" i="3"/>
  <c r="K60" i="3"/>
  <c r="BC59" i="3"/>
  <c r="BB59" i="3"/>
  <c r="BA59" i="3"/>
  <c r="AZ59" i="3"/>
  <c r="AY59" i="3"/>
  <c r="AX59" i="3"/>
  <c r="AW59" i="3"/>
  <c r="AV59" i="3"/>
  <c r="AS59" i="3"/>
  <c r="AR59" i="3"/>
  <c r="AQ59" i="3"/>
  <c r="AP59" i="3"/>
  <c r="AK59" i="3"/>
  <c r="AJ59" i="3"/>
  <c r="AI59" i="3"/>
  <c r="AH59" i="3"/>
  <c r="K59" i="3"/>
  <c r="BC58" i="3"/>
  <c r="BB58" i="3"/>
  <c r="BA58" i="3"/>
  <c r="AZ58" i="3"/>
  <c r="AY58" i="3"/>
  <c r="AX58" i="3"/>
  <c r="AW58" i="3"/>
  <c r="AV58" i="3"/>
  <c r="AS58" i="3"/>
  <c r="AR58" i="3"/>
  <c r="AQ58" i="3"/>
  <c r="AP58" i="3"/>
  <c r="AK58" i="3"/>
  <c r="AJ58" i="3"/>
  <c r="AI58" i="3"/>
  <c r="AH58" i="3"/>
  <c r="K58" i="3"/>
  <c r="BC57" i="3"/>
  <c r="BB57" i="3"/>
  <c r="BA57" i="3"/>
  <c r="AZ57" i="3"/>
  <c r="AY57" i="3"/>
  <c r="AX57" i="3"/>
  <c r="AW57" i="3"/>
  <c r="AV57" i="3"/>
  <c r="AS57" i="3"/>
  <c r="AR57" i="3"/>
  <c r="AQ57" i="3"/>
  <c r="AP57" i="3"/>
  <c r="AK57" i="3"/>
  <c r="AJ57" i="3"/>
  <c r="AI57" i="3"/>
  <c r="AH57" i="3"/>
  <c r="K57" i="3"/>
  <c r="BC56" i="3"/>
  <c r="BB56" i="3"/>
  <c r="BA56" i="3"/>
  <c r="AZ56" i="3"/>
  <c r="AY56" i="3"/>
  <c r="AX56" i="3"/>
  <c r="AW56" i="3"/>
  <c r="AV56" i="3"/>
  <c r="AS56" i="3"/>
  <c r="AR56" i="3"/>
  <c r="AQ56" i="3"/>
  <c r="AP56" i="3"/>
  <c r="AK56" i="3"/>
  <c r="AJ56" i="3"/>
  <c r="AI56" i="3"/>
  <c r="AH56" i="3"/>
  <c r="K56" i="3"/>
  <c r="BC55" i="3"/>
  <c r="BB55" i="3"/>
  <c r="BA55" i="3"/>
  <c r="AZ55" i="3"/>
  <c r="AY55" i="3"/>
  <c r="AX55" i="3"/>
  <c r="AW55" i="3"/>
  <c r="AV55" i="3"/>
  <c r="AS55" i="3"/>
  <c r="AR55" i="3"/>
  <c r="AQ55" i="3"/>
  <c r="AP55" i="3"/>
  <c r="AK55" i="3"/>
  <c r="AJ55" i="3"/>
  <c r="AI55" i="3"/>
  <c r="AH55" i="3"/>
  <c r="K55" i="3"/>
  <c r="BC54" i="3"/>
  <c r="BB54" i="3"/>
  <c r="BA54" i="3"/>
  <c r="AZ54" i="3"/>
  <c r="AY54" i="3"/>
  <c r="AX54" i="3"/>
  <c r="AW54" i="3"/>
  <c r="AV54" i="3"/>
  <c r="AS54" i="3"/>
  <c r="AR54" i="3"/>
  <c r="AQ54" i="3"/>
  <c r="AP54" i="3"/>
  <c r="AK54" i="3"/>
  <c r="AJ54" i="3"/>
  <c r="AI54" i="3"/>
  <c r="AH54" i="3"/>
  <c r="K54" i="3"/>
  <c r="BC53" i="3"/>
  <c r="BB53" i="3"/>
  <c r="BA53" i="3"/>
  <c r="AZ53" i="3"/>
  <c r="AY53" i="3"/>
  <c r="AX53" i="3"/>
  <c r="AW53" i="3"/>
  <c r="AV53" i="3"/>
  <c r="AS53" i="3"/>
  <c r="AR53" i="3"/>
  <c r="AQ53" i="3"/>
  <c r="AP53" i="3"/>
  <c r="AK53" i="3"/>
  <c r="AJ53" i="3"/>
  <c r="AI53" i="3"/>
  <c r="AH53" i="3"/>
  <c r="K53" i="3"/>
  <c r="BC52" i="3"/>
  <c r="BB52" i="3"/>
  <c r="BA52" i="3"/>
  <c r="AZ52" i="3"/>
  <c r="AY52" i="3"/>
  <c r="AX52" i="3"/>
  <c r="AW52" i="3"/>
  <c r="AV52" i="3"/>
  <c r="AS52" i="3"/>
  <c r="AR52" i="3"/>
  <c r="AQ52" i="3"/>
  <c r="AP52" i="3"/>
  <c r="AK52" i="3"/>
  <c r="AJ52" i="3"/>
  <c r="AI52" i="3"/>
  <c r="AH52" i="3"/>
  <c r="K52" i="3"/>
  <c r="BC51" i="3"/>
  <c r="BB51" i="3"/>
  <c r="BA51" i="3"/>
  <c r="AZ51" i="3"/>
  <c r="AY51" i="3"/>
  <c r="AX51" i="3"/>
  <c r="AW51" i="3"/>
  <c r="AV51" i="3"/>
  <c r="AS51" i="3"/>
  <c r="AR51" i="3"/>
  <c r="AQ51" i="3"/>
  <c r="AP51" i="3"/>
  <c r="AK51" i="3"/>
  <c r="AJ51" i="3"/>
  <c r="AI51" i="3"/>
  <c r="AH51" i="3"/>
  <c r="K51" i="3"/>
  <c r="BC50" i="3"/>
  <c r="BB50" i="3"/>
  <c r="BA50" i="3"/>
  <c r="AZ50" i="3"/>
  <c r="AY50" i="3"/>
  <c r="AX50" i="3"/>
  <c r="AW50" i="3"/>
  <c r="AV50" i="3"/>
  <c r="AS50" i="3"/>
  <c r="AR50" i="3"/>
  <c r="AQ50" i="3"/>
  <c r="AP50" i="3"/>
  <c r="AK50" i="3"/>
  <c r="AJ50" i="3"/>
  <c r="AI50" i="3"/>
  <c r="AH50" i="3"/>
  <c r="K50" i="3"/>
  <c r="BC49" i="3"/>
  <c r="BB49" i="3"/>
  <c r="BA49" i="3"/>
  <c r="AZ49" i="3"/>
  <c r="AY49" i="3"/>
  <c r="AX49" i="3"/>
  <c r="AW49" i="3"/>
  <c r="AV49" i="3"/>
  <c r="AS49" i="3"/>
  <c r="AR49" i="3"/>
  <c r="AQ49" i="3"/>
  <c r="AP49" i="3"/>
  <c r="AK49" i="3"/>
  <c r="AJ49" i="3"/>
  <c r="AI49" i="3"/>
  <c r="AH49" i="3"/>
  <c r="K49" i="3"/>
  <c r="BC48" i="3"/>
  <c r="BB48" i="3"/>
  <c r="BA48" i="3"/>
  <c r="AZ48" i="3"/>
  <c r="AY48" i="3"/>
  <c r="AX48" i="3"/>
  <c r="AW48" i="3"/>
  <c r="AV48" i="3"/>
  <c r="AS48" i="3"/>
  <c r="AR48" i="3"/>
  <c r="AQ48" i="3"/>
  <c r="AP48" i="3"/>
  <c r="AK48" i="3"/>
  <c r="AJ48" i="3"/>
  <c r="AI48" i="3"/>
  <c r="AH48" i="3"/>
  <c r="K48" i="3"/>
  <c r="BC47" i="3"/>
  <c r="BB47" i="3"/>
  <c r="BA47" i="3"/>
  <c r="AZ47" i="3"/>
  <c r="AY47" i="3"/>
  <c r="AX47" i="3"/>
  <c r="AW47" i="3"/>
  <c r="AV47" i="3"/>
  <c r="AS47" i="3"/>
  <c r="AR47" i="3"/>
  <c r="AQ47" i="3"/>
  <c r="AP47" i="3"/>
  <c r="AK47" i="3"/>
  <c r="AJ47" i="3"/>
  <c r="AI47" i="3"/>
  <c r="AH47" i="3"/>
  <c r="K47" i="3"/>
  <c r="BC46" i="3"/>
  <c r="BB46" i="3"/>
  <c r="BA46" i="3"/>
  <c r="AZ46" i="3"/>
  <c r="AY46" i="3"/>
  <c r="AX46" i="3"/>
  <c r="AW46" i="3"/>
  <c r="AV46" i="3"/>
  <c r="AS46" i="3"/>
  <c r="AR46" i="3"/>
  <c r="AQ46" i="3"/>
  <c r="AP46" i="3"/>
  <c r="AK46" i="3"/>
  <c r="AJ46" i="3"/>
  <c r="AI46" i="3"/>
  <c r="AH46" i="3"/>
  <c r="K46" i="3"/>
  <c r="BC45" i="3"/>
  <c r="BB45" i="3"/>
  <c r="BA45" i="3"/>
  <c r="AZ45" i="3"/>
  <c r="AY45" i="3"/>
  <c r="AX45" i="3"/>
  <c r="AW45" i="3"/>
  <c r="AV45" i="3"/>
  <c r="AS45" i="3"/>
  <c r="AR45" i="3"/>
  <c r="AQ45" i="3"/>
  <c r="AP45" i="3"/>
  <c r="AK45" i="3"/>
  <c r="AJ45" i="3"/>
  <c r="AI45" i="3"/>
  <c r="AH45" i="3"/>
  <c r="K45" i="3"/>
  <c r="BC44" i="3"/>
  <c r="BB44" i="3"/>
  <c r="BA44" i="3"/>
  <c r="AZ44" i="3"/>
  <c r="AY44" i="3"/>
  <c r="AX44" i="3"/>
  <c r="AW44" i="3"/>
  <c r="AV44" i="3"/>
  <c r="AS44" i="3"/>
  <c r="AR44" i="3"/>
  <c r="AQ44" i="3"/>
  <c r="AP44" i="3"/>
  <c r="AK44" i="3"/>
  <c r="AJ44" i="3"/>
  <c r="AI44" i="3"/>
  <c r="AH44" i="3"/>
  <c r="K44" i="3"/>
  <c r="BC43" i="3"/>
  <c r="BB43" i="3"/>
  <c r="BA43" i="3"/>
  <c r="AZ43" i="3"/>
  <c r="AY43" i="3"/>
  <c r="AX43" i="3"/>
  <c r="AW43" i="3"/>
  <c r="AV43" i="3"/>
  <c r="AS43" i="3"/>
  <c r="AR43" i="3"/>
  <c r="AQ43" i="3"/>
  <c r="AP43" i="3"/>
  <c r="AK43" i="3"/>
  <c r="AJ43" i="3"/>
  <c r="AI43" i="3"/>
  <c r="AH43" i="3"/>
  <c r="K43" i="3"/>
  <c r="BC42" i="3"/>
  <c r="BB42" i="3"/>
  <c r="BA42" i="3"/>
  <c r="AZ42" i="3"/>
  <c r="AY42" i="3"/>
  <c r="AX42" i="3"/>
  <c r="AW42" i="3"/>
  <c r="AV42" i="3"/>
  <c r="AS42" i="3"/>
  <c r="AR42" i="3"/>
  <c r="AQ42" i="3"/>
  <c r="AP42" i="3"/>
  <c r="AK42" i="3"/>
  <c r="AJ42" i="3"/>
  <c r="AI42" i="3"/>
  <c r="AH42" i="3"/>
  <c r="K42" i="3"/>
  <c r="BC41" i="3"/>
  <c r="BB41" i="3"/>
  <c r="BA41" i="3"/>
  <c r="AZ41" i="3"/>
  <c r="AY41" i="3"/>
  <c r="AX41" i="3"/>
  <c r="AW41" i="3"/>
  <c r="AV41" i="3"/>
  <c r="AS41" i="3"/>
  <c r="AR41" i="3"/>
  <c r="AQ41" i="3"/>
  <c r="AP41" i="3"/>
  <c r="AK41" i="3"/>
  <c r="AJ41" i="3"/>
  <c r="AI41" i="3"/>
  <c r="AH41" i="3"/>
  <c r="K41" i="3"/>
  <c r="BC40" i="3"/>
  <c r="BB40" i="3"/>
  <c r="BA40" i="3"/>
  <c r="AZ40" i="3"/>
  <c r="AY40" i="3"/>
  <c r="AX40" i="3"/>
  <c r="AW40" i="3"/>
  <c r="AV40" i="3"/>
  <c r="AS40" i="3"/>
  <c r="AR40" i="3"/>
  <c r="AQ40" i="3"/>
  <c r="AP40" i="3"/>
  <c r="AK40" i="3"/>
  <c r="AJ40" i="3"/>
  <c r="AI40" i="3"/>
  <c r="AH40" i="3"/>
  <c r="K40" i="3"/>
  <c r="BC39" i="3"/>
  <c r="BB39" i="3"/>
  <c r="BA39" i="3"/>
  <c r="AZ39" i="3"/>
  <c r="AY39" i="3"/>
  <c r="AX39" i="3"/>
  <c r="AW39" i="3"/>
  <c r="AV39" i="3"/>
  <c r="AS39" i="3"/>
  <c r="AR39" i="3"/>
  <c r="AQ39" i="3"/>
  <c r="AP39" i="3"/>
  <c r="AK39" i="3"/>
  <c r="AJ39" i="3"/>
  <c r="AI39" i="3"/>
  <c r="AH39" i="3"/>
  <c r="K39" i="3"/>
  <c r="BC38" i="3"/>
  <c r="BB38" i="3"/>
  <c r="BA38" i="3"/>
  <c r="AZ38" i="3"/>
  <c r="AY38" i="3"/>
  <c r="AX38" i="3"/>
  <c r="AW38" i="3"/>
  <c r="AV38" i="3"/>
  <c r="AS38" i="3"/>
  <c r="AR38" i="3"/>
  <c r="AQ38" i="3"/>
  <c r="AP38" i="3"/>
  <c r="AK38" i="3"/>
  <c r="AJ38" i="3"/>
  <c r="AI38" i="3"/>
  <c r="AH38" i="3"/>
  <c r="K38" i="3"/>
  <c r="BC37" i="3"/>
  <c r="BB37" i="3"/>
  <c r="BA37" i="3"/>
  <c r="AZ37" i="3"/>
  <c r="AY37" i="3"/>
  <c r="AX37" i="3"/>
  <c r="AW37" i="3"/>
  <c r="AV37" i="3"/>
  <c r="AS37" i="3"/>
  <c r="AR37" i="3"/>
  <c r="AQ37" i="3"/>
  <c r="AP37" i="3"/>
  <c r="AK37" i="3"/>
  <c r="AJ37" i="3"/>
  <c r="AI37" i="3"/>
  <c r="AH37" i="3"/>
  <c r="K37" i="3"/>
  <c r="BC36" i="3"/>
  <c r="BB36" i="3"/>
  <c r="BA36" i="3"/>
  <c r="AZ36" i="3"/>
  <c r="AY36" i="3"/>
  <c r="AX36" i="3"/>
  <c r="AW36" i="3"/>
  <c r="AV36" i="3"/>
  <c r="AS36" i="3"/>
  <c r="AR36" i="3"/>
  <c r="AQ36" i="3"/>
  <c r="AP36" i="3"/>
  <c r="AK36" i="3"/>
  <c r="AJ36" i="3"/>
  <c r="AI36" i="3"/>
  <c r="AH36" i="3"/>
  <c r="K36" i="3"/>
  <c r="BC35" i="3"/>
  <c r="BB35" i="3"/>
  <c r="BA35" i="3"/>
  <c r="AZ35" i="3"/>
  <c r="AY35" i="3"/>
  <c r="AX35" i="3"/>
  <c r="AW35" i="3"/>
  <c r="AV35" i="3"/>
  <c r="AS35" i="3"/>
  <c r="AR35" i="3"/>
  <c r="AQ35" i="3"/>
  <c r="AP35" i="3"/>
  <c r="AK35" i="3"/>
  <c r="AJ35" i="3"/>
  <c r="AI35" i="3"/>
  <c r="AH35" i="3"/>
  <c r="K35" i="3"/>
  <c r="BC34" i="3"/>
  <c r="BB34" i="3"/>
  <c r="BA34" i="3"/>
  <c r="AZ34" i="3"/>
  <c r="AY34" i="3"/>
  <c r="AX34" i="3"/>
  <c r="AW34" i="3"/>
  <c r="AV34" i="3"/>
  <c r="AS34" i="3"/>
  <c r="AR34" i="3"/>
  <c r="AQ34" i="3"/>
  <c r="AP34" i="3"/>
  <c r="AK34" i="3"/>
  <c r="AJ34" i="3"/>
  <c r="AI34" i="3"/>
  <c r="AH34" i="3"/>
  <c r="K34" i="3"/>
  <c r="BC33" i="3"/>
  <c r="BB33" i="3"/>
  <c r="BA33" i="3"/>
  <c r="AZ33" i="3"/>
  <c r="AY33" i="3"/>
  <c r="AX33" i="3"/>
  <c r="AW33" i="3"/>
  <c r="AV33" i="3"/>
  <c r="AS33" i="3"/>
  <c r="AR33" i="3"/>
  <c r="AQ33" i="3"/>
  <c r="AP33" i="3"/>
  <c r="AK33" i="3"/>
  <c r="AJ33" i="3"/>
  <c r="AI33" i="3"/>
  <c r="AH33" i="3"/>
  <c r="K33" i="3"/>
  <c r="BA32" i="3"/>
  <c r="AR32" i="3" s="1"/>
  <c r="AX32" i="3"/>
  <c r="BB32" i="3" s="1"/>
  <c r="AS32" i="3" s="1"/>
  <c r="AW32" i="3"/>
  <c r="AV32" i="3" s="1"/>
  <c r="AY32" i="3" s="1"/>
  <c r="AP32" i="3"/>
  <c r="AI32" i="3"/>
  <c r="AH32" i="3"/>
  <c r="AJ32" i="3" s="1"/>
  <c r="AK32" i="3" s="1"/>
  <c r="K32" i="3"/>
  <c r="BC31" i="3"/>
  <c r="BA31" i="3"/>
  <c r="AR31" i="3" s="1"/>
  <c r="AX31" i="3"/>
  <c r="AW31" i="3"/>
  <c r="BB31" i="3" s="1"/>
  <c r="AS31" i="3" s="1"/>
  <c r="AP31" i="3"/>
  <c r="AI31" i="3"/>
  <c r="AH31" i="3"/>
  <c r="K31" i="3"/>
  <c r="BC30" i="3"/>
  <c r="BB30" i="3"/>
  <c r="AS30" i="3" s="1"/>
  <c r="BA30" i="3"/>
  <c r="AR30" i="3" s="1"/>
  <c r="AX30" i="3"/>
  <c r="AW30" i="3"/>
  <c r="AV30" i="3" s="1"/>
  <c r="AY30" i="3" s="1"/>
  <c r="AP30" i="3"/>
  <c r="AI30" i="3"/>
  <c r="AH30" i="3"/>
  <c r="K30" i="3"/>
  <c r="BA29" i="3"/>
  <c r="AR29" i="3" s="1"/>
  <c r="AX29" i="3"/>
  <c r="BB29" i="3" s="1"/>
  <c r="AS29" i="3" s="1"/>
  <c r="AW29" i="3"/>
  <c r="AV29" i="3" s="1"/>
  <c r="AY29" i="3" s="1"/>
  <c r="AP29" i="3"/>
  <c r="BC29" i="3" s="1"/>
  <c r="AI29" i="3"/>
  <c r="AH29" i="3"/>
  <c r="K29" i="3"/>
  <c r="BA28" i="3"/>
  <c r="AR28" i="3" s="1"/>
  <c r="AX28" i="3"/>
  <c r="BB28" i="3" s="1"/>
  <c r="AS28" i="3" s="1"/>
  <c r="AW28" i="3"/>
  <c r="AV28" i="3"/>
  <c r="AY28" i="3" s="1"/>
  <c r="AP28" i="3"/>
  <c r="BC28" i="3" s="1"/>
  <c r="AI28" i="3"/>
  <c r="AH28" i="3"/>
  <c r="K28" i="3"/>
  <c r="BC27" i="3"/>
  <c r="BB27" i="3"/>
  <c r="BA27" i="3"/>
  <c r="AZ27" i="3"/>
  <c r="AY27" i="3"/>
  <c r="AX27" i="3"/>
  <c r="AW27" i="3"/>
  <c r="AV27" i="3"/>
  <c r="AS27" i="3"/>
  <c r="AR27" i="3"/>
  <c r="AQ27" i="3"/>
  <c r="AP27" i="3"/>
  <c r="AK27" i="3"/>
  <c r="AJ27" i="3"/>
  <c r="AI27" i="3"/>
  <c r="AH27" i="3"/>
  <c r="K27" i="3"/>
  <c r="BA26" i="3"/>
  <c r="AR26" i="3" s="1"/>
  <c r="AX26" i="3"/>
  <c r="AW26" i="3"/>
  <c r="BB26" i="3" s="1"/>
  <c r="AS26" i="3" s="1"/>
  <c r="AP26" i="3"/>
  <c r="BC26" i="3" s="1"/>
  <c r="AI26" i="3"/>
  <c r="AH26" i="3"/>
  <c r="AJ26" i="3" s="1"/>
  <c r="AK26" i="3" s="1"/>
  <c r="K26" i="3"/>
  <c r="BA25" i="3"/>
  <c r="AR25" i="3" s="1"/>
  <c r="AX25" i="3"/>
  <c r="AW25" i="3"/>
  <c r="AV25" i="3"/>
  <c r="AY25" i="3" s="1"/>
  <c r="AP25" i="3"/>
  <c r="BC25" i="3" s="1"/>
  <c r="AI25" i="3"/>
  <c r="AH25" i="3"/>
  <c r="K25" i="3"/>
  <c r="BA24" i="3"/>
  <c r="AR24" i="3" s="1"/>
  <c r="AX24" i="3"/>
  <c r="AW24" i="3"/>
  <c r="AV24" i="3"/>
  <c r="AY24" i="3" s="1"/>
  <c r="AP24" i="3"/>
  <c r="BC24" i="3" s="1"/>
  <c r="AI24" i="3"/>
  <c r="AH24" i="3"/>
  <c r="AJ24" i="3" s="1"/>
  <c r="AK24" i="3" s="1"/>
  <c r="K24" i="3"/>
  <c r="BA23" i="3"/>
  <c r="AR23" i="3" s="1"/>
  <c r="AX23" i="3"/>
  <c r="BB23" i="3" s="1"/>
  <c r="AS23" i="3" s="1"/>
  <c r="AW23" i="3"/>
  <c r="AV23" i="3"/>
  <c r="AY23" i="3" s="1"/>
  <c r="AP23" i="3"/>
  <c r="BC23" i="3" s="1"/>
  <c r="AI23" i="3"/>
  <c r="AH23" i="3"/>
  <c r="AJ23" i="3" s="1"/>
  <c r="AK23" i="3" s="1"/>
  <c r="K23" i="3"/>
  <c r="BC22" i="3"/>
  <c r="BB22" i="3"/>
  <c r="BA22" i="3"/>
  <c r="AZ22" i="3"/>
  <c r="AY22" i="3"/>
  <c r="AX22" i="3"/>
  <c r="AW22" i="3"/>
  <c r="AV22" i="3"/>
  <c r="AS22" i="3"/>
  <c r="AR22" i="3"/>
  <c r="AQ22" i="3"/>
  <c r="AP22" i="3"/>
  <c r="AK22" i="3"/>
  <c r="AJ22" i="3"/>
  <c r="AI22" i="3"/>
  <c r="AH22" i="3"/>
  <c r="K22" i="3"/>
  <c r="BC21" i="3"/>
  <c r="BB21" i="3"/>
  <c r="BA21" i="3"/>
  <c r="AZ21" i="3"/>
  <c r="AY21" i="3"/>
  <c r="AX21" i="3"/>
  <c r="AW21" i="3"/>
  <c r="AV21" i="3"/>
  <c r="AS21" i="3"/>
  <c r="AR21" i="3"/>
  <c r="AQ21" i="3"/>
  <c r="AP21" i="3"/>
  <c r="AK21" i="3"/>
  <c r="AJ21" i="3"/>
  <c r="AI21" i="3"/>
  <c r="AH21" i="3"/>
  <c r="K21" i="3"/>
  <c r="BA20" i="3"/>
  <c r="AR20" i="3" s="1"/>
  <c r="AX20" i="3"/>
  <c r="AW20" i="3"/>
  <c r="AV20" i="3"/>
  <c r="AY20" i="3" s="1"/>
  <c r="AP20" i="3"/>
  <c r="BC20" i="3" s="1"/>
  <c r="AI20" i="3"/>
  <c r="AH20" i="3"/>
  <c r="AJ20" i="3" s="1"/>
  <c r="AK20" i="3" s="1"/>
  <c r="K20" i="3"/>
  <c r="BA19" i="3"/>
  <c r="AR19" i="3" s="1"/>
  <c r="AX19" i="3"/>
  <c r="BB19" i="3" s="1"/>
  <c r="AS19" i="3" s="1"/>
  <c r="AW19" i="3"/>
  <c r="AV19" i="3"/>
  <c r="AY19" i="3" s="1"/>
  <c r="AP19" i="3"/>
  <c r="BC19" i="3" s="1"/>
  <c r="AI19" i="3"/>
  <c r="AH19" i="3"/>
  <c r="K19" i="3"/>
  <c r="BA18" i="3"/>
  <c r="AR18" i="3" s="1"/>
  <c r="AX18" i="3"/>
  <c r="AW18" i="3"/>
  <c r="AV18" i="3"/>
  <c r="AY18" i="3" s="1"/>
  <c r="AP18" i="3"/>
  <c r="BC18" i="3" s="1"/>
  <c r="AI18" i="3"/>
  <c r="AH18" i="3"/>
  <c r="K18" i="3"/>
  <c r="BC17" i="3"/>
  <c r="BA17" i="3"/>
  <c r="AR17" i="3" s="1"/>
  <c r="AX17" i="3"/>
  <c r="AW17" i="3"/>
  <c r="AV17" i="3" s="1"/>
  <c r="AY17" i="3" s="1"/>
  <c r="AP17" i="3"/>
  <c r="AI17" i="3"/>
  <c r="AH17" i="3"/>
  <c r="AJ17" i="3" s="1"/>
  <c r="AK17" i="3" s="1"/>
  <c r="K17" i="3"/>
  <c r="BA16" i="3"/>
  <c r="AR16" i="3" s="1"/>
  <c r="AX16" i="3"/>
  <c r="AW16" i="3"/>
  <c r="AV16" i="3" s="1"/>
  <c r="AY16" i="3" s="1"/>
  <c r="AP16" i="3"/>
  <c r="BC16" i="3" s="1"/>
  <c r="AI16" i="3"/>
  <c r="AH16" i="3"/>
  <c r="AJ16" i="3" s="1"/>
  <c r="AK16" i="3" s="1"/>
  <c r="K16" i="3"/>
  <c r="BC15" i="3"/>
  <c r="BA15" i="3"/>
  <c r="AR15" i="3" s="1"/>
  <c r="AX15" i="3"/>
  <c r="BB15" i="3" s="1"/>
  <c r="AS15" i="3" s="1"/>
  <c r="AW15" i="3"/>
  <c r="AV15" i="3"/>
  <c r="AY15" i="3" s="1"/>
  <c r="AP15" i="3"/>
  <c r="AI15" i="3"/>
  <c r="AH15" i="3"/>
  <c r="K15" i="3"/>
  <c r="BA14" i="3"/>
  <c r="AR14" i="3" s="1"/>
  <c r="AX14" i="3"/>
  <c r="BB14" i="3" s="1"/>
  <c r="AS14" i="3" s="1"/>
  <c r="AW14" i="3"/>
  <c r="AV14" i="3"/>
  <c r="AY14" i="3" s="1"/>
  <c r="AP14" i="3"/>
  <c r="BC14" i="3" s="1"/>
  <c r="AI14" i="3"/>
  <c r="AH14" i="3"/>
  <c r="K14" i="3"/>
  <c r="BA13" i="3"/>
  <c r="AR13" i="3" s="1"/>
  <c r="AX13" i="3"/>
  <c r="BB13" i="3" s="1"/>
  <c r="AS13" i="3" s="1"/>
  <c r="AW13" i="3"/>
  <c r="AV13" i="3" s="1"/>
  <c r="AY13" i="3" s="1"/>
  <c r="AP13" i="3"/>
  <c r="BC13" i="3" s="1"/>
  <c r="AI13" i="3"/>
  <c r="AH13" i="3"/>
  <c r="AJ13" i="3" s="1"/>
  <c r="AK13" i="3" s="1"/>
  <c r="K13" i="3"/>
  <c r="BA12" i="3"/>
  <c r="AR12" i="3" s="1"/>
  <c r="AX12" i="3"/>
  <c r="AW12" i="3"/>
  <c r="AV12" i="3" s="1"/>
  <c r="AY12" i="3" s="1"/>
  <c r="AP12" i="3"/>
  <c r="BC12" i="3" s="1"/>
  <c r="AI12" i="3"/>
  <c r="AH12" i="3"/>
  <c r="K12" i="3"/>
  <c r="BC11" i="3"/>
  <c r="BB11" i="3"/>
  <c r="BA11" i="3"/>
  <c r="AZ11" i="3"/>
  <c r="AY11" i="3"/>
  <c r="AX11" i="3"/>
  <c r="AW11" i="3"/>
  <c r="AV11" i="3"/>
  <c r="AS11" i="3"/>
  <c r="AR11" i="3"/>
  <c r="AQ11" i="3"/>
  <c r="AP11" i="3"/>
  <c r="AK11" i="3"/>
  <c r="AJ11" i="3"/>
  <c r="AI11" i="3"/>
  <c r="AH11" i="3"/>
  <c r="K11" i="3"/>
  <c r="BC10" i="3"/>
  <c r="BB10" i="3"/>
  <c r="BA10" i="3"/>
  <c r="AZ10" i="3"/>
  <c r="AY10" i="3"/>
  <c r="AX10" i="3"/>
  <c r="AW10" i="3"/>
  <c r="AV10" i="3"/>
  <c r="AS10" i="3"/>
  <c r="AR10" i="3"/>
  <c r="AQ10" i="3"/>
  <c r="AP10" i="3"/>
  <c r="AK10" i="3"/>
  <c r="AJ10" i="3"/>
  <c r="AI10" i="3"/>
  <c r="AH10" i="3"/>
  <c r="K10" i="3"/>
  <c r="BA9" i="3"/>
  <c r="AR9" i="3" s="1"/>
  <c r="AX9" i="3"/>
  <c r="BB9" i="3" s="1"/>
  <c r="AS9" i="3" s="1"/>
  <c r="AW9" i="3"/>
  <c r="AV9" i="3" s="1"/>
  <c r="AY9" i="3" s="1"/>
  <c r="AP9" i="3"/>
  <c r="BC9" i="3" s="1"/>
  <c r="AI9" i="3"/>
  <c r="AH9" i="3"/>
  <c r="K9" i="3"/>
  <c r="BA8" i="3"/>
  <c r="AR8" i="3" s="1"/>
  <c r="AX8" i="3"/>
  <c r="AW8" i="3"/>
  <c r="AP8" i="3"/>
  <c r="BC8" i="3" s="1"/>
  <c r="AI8" i="3"/>
  <c r="AH8" i="3"/>
  <c r="AJ8" i="3" s="1"/>
  <c r="AK8" i="3" s="1"/>
  <c r="K8" i="3"/>
  <c r="BA7" i="3"/>
  <c r="AR7" i="3" s="1"/>
  <c r="AX7" i="3"/>
  <c r="AW7" i="3"/>
  <c r="AV7" i="3"/>
  <c r="AY7" i="3" s="1"/>
  <c r="AP7" i="3"/>
  <c r="BC7" i="3" s="1"/>
  <c r="AI7" i="3"/>
  <c r="AH7" i="3"/>
  <c r="AJ7" i="3" s="1"/>
  <c r="AK7" i="3" s="1"/>
  <c r="K7" i="3"/>
  <c r="BA6" i="3"/>
  <c r="AR6" i="3" s="1"/>
  <c r="AX6" i="3"/>
  <c r="AW6" i="3"/>
  <c r="AV6" i="3" s="1"/>
  <c r="AY6" i="3" s="1"/>
  <c r="AP6" i="3"/>
  <c r="BC6" i="3" s="1"/>
  <c r="AI6" i="3"/>
  <c r="AH6" i="3"/>
  <c r="AJ6" i="3" s="1"/>
  <c r="AK6" i="3" s="1"/>
  <c r="K6" i="3"/>
  <c r="AJ29" i="3" l="1"/>
  <c r="AK29" i="3" s="1"/>
  <c r="BB12" i="3"/>
  <c r="AS12" i="3" s="1"/>
  <c r="AJ18" i="3"/>
  <c r="AK18" i="3" s="1"/>
  <c r="AJ30" i="3"/>
  <c r="AK30" i="3" s="1"/>
  <c r="AV31" i="3"/>
  <c r="AY31" i="3" s="1"/>
  <c r="AZ29" i="3" s="1"/>
  <c r="AQ29" i="3" s="1"/>
  <c r="BB7" i="3"/>
  <c r="AS7" i="3" s="1"/>
  <c r="BB25" i="3"/>
  <c r="AS25" i="3" s="1"/>
  <c r="BB8" i="3"/>
  <c r="AS8" i="3" s="1"/>
  <c r="BB18" i="3"/>
  <c r="AS18" i="3" s="1"/>
  <c r="AJ15" i="3"/>
  <c r="AK15" i="3" s="1"/>
  <c r="BB24" i="3"/>
  <c r="AS24" i="3" s="1"/>
  <c r="BB6" i="3"/>
  <c r="AS6" i="3" s="1"/>
  <c r="AJ14" i="3"/>
  <c r="AK14" i="3" s="1"/>
  <c r="BB17" i="3"/>
  <c r="AS17" i="3" s="1"/>
  <c r="AJ19" i="3"/>
  <c r="AK19" i="3" s="1"/>
  <c r="AJ28" i="3"/>
  <c r="AK28" i="3" s="1"/>
  <c r="BB16" i="3"/>
  <c r="AS16" i="3" s="1"/>
  <c r="BB20" i="3"/>
  <c r="AS20" i="3" s="1"/>
  <c r="AJ25" i="3"/>
  <c r="AK25" i="3" s="1"/>
  <c r="AV8" i="3"/>
  <c r="AY8" i="3" s="1"/>
  <c r="AZ8" i="3" s="1"/>
  <c r="AQ8" i="3" s="1"/>
  <c r="AJ12" i="3"/>
  <c r="AK12" i="3" s="1"/>
  <c r="AJ31" i="3"/>
  <c r="AK31" i="3" s="1"/>
  <c r="AJ9" i="3"/>
  <c r="AK9" i="3" s="1"/>
  <c r="AZ14" i="3"/>
  <c r="AQ14" i="3" s="1"/>
  <c r="AZ19" i="3"/>
  <c r="AQ19" i="3" s="1"/>
  <c r="AZ32" i="3"/>
  <c r="AQ32" i="3" s="1"/>
  <c r="AZ31" i="3"/>
  <c r="AQ31" i="3" s="1"/>
  <c r="AZ28" i="3"/>
  <c r="AQ28" i="3" s="1"/>
  <c r="AZ30" i="3"/>
  <c r="AQ30" i="3" s="1"/>
  <c r="AZ13" i="3"/>
  <c r="AQ13" i="3" s="1"/>
  <c r="AZ9" i="3"/>
  <c r="AQ9" i="3" s="1"/>
  <c r="BC32" i="3"/>
  <c r="AZ17" i="3"/>
  <c r="AQ17" i="3" s="1"/>
  <c r="AZ20" i="3"/>
  <c r="AQ20" i="3" s="1"/>
  <c r="AZ16" i="3"/>
  <c r="AQ16" i="3" s="1"/>
  <c r="AZ18" i="3"/>
  <c r="AQ18" i="3" s="1"/>
  <c r="AV26" i="3"/>
  <c r="AY26" i="3" s="1"/>
  <c r="AZ26" i="3" s="1"/>
  <c r="AQ26" i="3" s="1"/>
  <c r="AZ15" i="3"/>
  <c r="AQ15" i="3" s="1"/>
  <c r="AZ12" i="3"/>
  <c r="AQ12" i="3" s="1"/>
  <c r="AZ6" i="3" l="1"/>
  <c r="AQ6" i="3" s="1"/>
  <c r="AZ7" i="3"/>
  <c r="AQ7" i="3" s="1"/>
  <c r="AZ24" i="3"/>
  <c r="AQ24" i="3" s="1"/>
  <c r="AZ23" i="3"/>
  <c r="AQ23" i="3" s="1"/>
  <c r="AZ25" i="3"/>
  <c r="AQ2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PI그룹</author>
  </authors>
  <commentList>
    <comment ref="K5" authorId="0" shapeId="0" xr:uid="{00000000-0006-0000-0200-000001000000}">
      <text>
        <r>
          <rPr>
            <sz val="11"/>
            <color theme="1"/>
            <rFont val="맑은 고딕"/>
            <family val="2"/>
            <scheme val="minor"/>
          </rPr>
          <t>자동 계산 — [L5 프로세스 ID] + 발생 순번.</t>
        </r>
      </text>
    </comment>
    <comment ref="L5" authorId="0" shapeId="0" xr:uid="{00000000-0006-0000-0200-000002000000}">
      <text>
        <r>
          <rPr>
            <sz val="11"/>
            <color theme="1"/>
            <rFont val="맑은 고딕"/>
            <family val="2"/>
            <scheme val="minor"/>
          </rPr>
          <t>1행 = 1 Task.
· "~하고 ~한다" 가 있으면 그 지점에서 행을 나눈다
· 관리/처리/수행/진행 → 조회·입력·산출·판정·검토·승인·발송·등록 으로 바꿔 쓴다
· 주어와 괄호는 쓰지 않는다 (주어는 [③ 수행 주체] 열이 대신한다)
· 1건 60분을 넘으면 아직 뭉쳐 있다는 신호 — 더 쪼갠다</t>
        </r>
      </text>
    </comment>
    <comment ref="M5" authorId="0" shapeId="0" xr:uid="{00000000-0006-0000-0200-000003000000}">
      <text>
        <r>
          <rPr>
            <sz val="11"/>
            <color theme="1"/>
            <rFont val="맑은 고딕"/>
            <family val="2"/>
            <scheme val="minor"/>
          </rPr>
          <t>★ 판단 기준이 있을 때만 적습니다. 없으면 비워 두세요.
적는 것 — 이 일을 할 때 무엇을 보고 「된다 / 안 된다」 를 가르나
  예) 도급액 30억 이상이면 RM파트, 30억 미만이면 엔지니어링팀장
  예) 전월 대비 변동 폭이 크고 사업 영향도가 높은 것
  예) 하도급 비율 50% 초과면 위반
적지 않는 것 — 그냥 언제·누구에게·어떤 형식으로 하는지
  「대상 : 전 프로젝트」  「주기 : 월 1회」  「수신 : 임원」  「형식 : 3줄 요약」
기준을 글로 쓸 수 있으면 그대로 자동화할 수 있습니다.
쓸 수 없으면 사람 감각으로 하는 일이라는 뜻이고, 그 일은 사람이 계속 하게 됩니다.</t>
        </r>
      </text>
    </comment>
    <comment ref="N5" authorId="0" shapeId="0" xr:uid="{00000000-0006-0000-0200-000004000000}">
      <text>
        <r>
          <rPr>
            <sz val="11"/>
            <color theme="1"/>
            <rFont val="맑은 고딕"/>
            <family val="2"/>
            <scheme val="minor"/>
          </rPr>
          <t>③ 수행 주체 — 지금 누가 하고 있나.  목록 값만.
  사람      = 사람이 손으로 한다 (수작업)
  시스템     = AI 가 아닌 시스템이 자동 처리
  AI        = AI 가 단독 수행
  AI+사람   = AI 가 하고 사람이 확인·판단
TO-BE 의 [③ 수행 주체] 와 같은 목록입니다. 두 칸을 나란히 보면 무엇이 바뀌는지 바로 보입니다.</t>
        </r>
      </text>
    </comment>
    <comment ref="O5" authorId="0" shapeId="0" xr:uid="{00000000-0006-0000-0200-000005000000}">
      <text>
        <r>
          <rPr>
            <sz val="11"/>
            <color theme="1"/>
            <rFont val="맑은 고딕"/>
            <family val="2"/>
            <scheme val="minor"/>
          </rPr>
          <t>PI그룹이 판단할 수 없어 비워 두었습니다. 실제 수행 부서·팀을 적어 주세요.</t>
        </r>
      </text>
    </comment>
    <comment ref="P5" authorId="0" shapeId="0" xr:uid="{00000000-0006-0000-0200-000006000000}">
      <text>
        <r>
          <rPr>
            <sz val="11"/>
            <color theme="1"/>
            <rFont val="맑은 고딕"/>
            <family val="2"/>
            <scheme val="minor"/>
          </rPr>
          <t>★ 현업 입력 대상.  숫자만. 모르면 비우고 [추가 필요내용] 에 적어 주세요.</t>
        </r>
      </text>
    </comment>
    <comment ref="Q5" authorId="0" shapeId="0" xr:uid="{00000000-0006-0000-0200-000007000000}">
      <text>
        <r>
          <rPr>
            <sz val="11"/>
            <color theme="1"/>
            <rFont val="맑은 고딕"/>
            <family val="2"/>
            <scheme val="minor"/>
          </rPr>
          <t>★ 현업 입력 대상.  0 = 사람 공수 없음. 절감은 인원 1 이상인 행만 집계됩니다.</t>
        </r>
      </text>
    </comment>
    <comment ref="R5" authorId="0" shapeId="0" xr:uid="{00000000-0006-0000-0200-000008000000}">
      <text>
        <r>
          <rPr>
            <sz val="11"/>
            <color theme="1"/>
            <rFont val="맑은 고딕"/>
            <family val="2"/>
            <scheme val="minor"/>
          </rPr>
          <t>★ 현업 입력 대상.  일 / 주 / 월 / 건별·비정기.
이 값이 연간 공수 환산 기준입니다. TO-BE 도 같은 빈도로 계산됩니다.</t>
        </r>
      </text>
    </comment>
    <comment ref="S5" authorId="0" shapeId="0" xr:uid="{00000000-0006-0000-0200-000009000000}">
      <text>
        <r>
          <rPr>
            <sz val="11"/>
            <color theme="1"/>
            <rFont val="맑은 고딕"/>
            <family val="2"/>
            <scheme val="minor"/>
          </rPr>
          <t>★ 현업 입력 대상.  빈도 단위당 횟수 (월 2회 → 2).</t>
        </r>
      </text>
    </comment>
    <comment ref="T5" authorId="0" shapeId="0" xr:uid="{00000000-0006-0000-0200-00000A000000}">
      <text>
        <r>
          <rPr>
            <sz val="11"/>
            <color theme="1"/>
            <rFont val="맑은 고딕"/>
            <family val="2"/>
            <scheme val="minor"/>
          </rPr>
          <t>★ 현업 입력 대상.  건별·비정기 업무의 연간 발생 건수.</t>
        </r>
      </text>
    </comment>
    <comment ref="U5" authorId="0" shapeId="0" xr:uid="{00000000-0006-0000-0200-00000B000000}">
      <text>
        <r>
          <rPr>
            <sz val="11"/>
            <color theme="1"/>
            <rFont val="맑은 고딕"/>
            <family val="2"/>
            <scheme val="minor"/>
          </rPr>
          <t>이 Task 를 하려면 무엇을 봐야 하나.</t>
        </r>
      </text>
    </comment>
    <comment ref="V5" authorId="0" shapeId="0" xr:uid="{00000000-0006-0000-0200-00000C000000}">
      <text>
        <r>
          <rPr>
            <sz val="11"/>
            <color theme="1"/>
            <rFont val="맑은 고딕"/>
            <family val="2"/>
            <scheme val="minor"/>
          </rPr>
          <t>AS-IS 산출물 — 지금 이 Task 가 끝났을 때 손에 남는 것.
앞 행의 [산출물] 이 뒷 행의 [필요 데이터] 로 이어지면 순서가 맞습니다.</t>
        </r>
      </text>
    </comment>
    <comment ref="W5" authorId="0" shapeId="0" xr:uid="{00000000-0006-0000-0200-00000D000000}">
      <text>
        <r>
          <rPr>
            <sz val="11"/>
            <color theme="1"/>
            <rFont val="맑은 고딕"/>
            <family val="2"/>
            <scheme val="minor"/>
          </rPr>
          <t>사람이 실제로 데이터를 꺼내는 시스템. 목록 값만.</t>
        </r>
      </text>
    </comment>
    <comment ref="X5" authorId="0" shapeId="0" xr:uid="{00000000-0006-0000-0200-00000E000000}">
      <text>
        <r>
          <rPr>
            <sz val="11"/>
            <color theme="1"/>
            <rFont val="맑은 고딕"/>
            <family val="2"/>
            <scheme val="minor"/>
          </rPr>
          <t>① 변화 유형 — 프로세스가 어떻게 바뀌나.  목록 값만.
  유지 = 지금 그대로 둔다
  변경 = Task 는 남지만 하는 방식이 바뀐다
  신설 = 없던 Task 가 새로 생긴다
  삭제 = Task 자체가 없어진다
※ "자동화" 는 여기 값이 아닙니다. 「변경 + 적용 수단 AI」 를 뜻합니다.</t>
        </r>
      </text>
    </comment>
    <comment ref="Y5" authorId="0" shapeId="0" xr:uid="{00000000-0006-0000-0200-00000F000000}">
      <text>
        <r>
          <rPr>
            <sz val="11"/>
            <color theme="1"/>
            <rFont val="맑은 고딕"/>
            <family val="2"/>
            <scheme val="minor"/>
          </rPr>
          <t>② 적용 수단 — 무엇으로 바꾸나.  목록 값만.
  AI          = AI · LLM · 에이전트
  N-ERP       = N-ERP 표준기능 개선으로 해결
  시스템(AI 외) = 그 밖의 시스템 개선 (룰엔진 · RPA · 기존 시스템 연동 등)
  없음         = 도구는 그대로. 절차·기준만 바뀌거나 유지</t>
        </r>
      </text>
    </comment>
    <comment ref="Z5" authorId="0" shapeId="0" xr:uid="{00000000-0006-0000-0200-000010000000}">
      <text>
        <r>
          <rPr>
            <sz val="11"/>
            <color theme="1"/>
            <rFont val="맑은 고딕"/>
            <family val="2"/>
            <scheme val="minor"/>
          </rPr>
          <t>TO-BE 에서 이 Task 가 어떻게 돌아가는지 한 문장으로. "~한다" 로 종결.</t>
        </r>
      </text>
    </comment>
    <comment ref="AA5" authorId="0" shapeId="0" xr:uid="{00000000-0006-0000-0200-000011000000}">
      <text>
        <r>
          <rPr>
            <sz val="11"/>
            <color theme="1"/>
            <rFont val="맑은 고딕"/>
            <family val="2"/>
            <scheme val="minor"/>
          </rPr>
          <t>③ 수행 주체 — 결국 누가 하나.  AS-IS 와 같은 목록.
  사람      = 여전히 사람이 손으로 한다
  시스템     = AI 가 아닌 시스템이 자동 처리
  AI        = AI 단독. 사람 개입 0  →  인원 수 0
  AI+사람   = AI 가 하고 사람이 확인·판단  ★ HITL 지점. 인원 수 1 이상
이 열이 절감 산출의 실질 기준입니다.</t>
        </r>
      </text>
    </comment>
    <comment ref="AB5" authorId="0" shapeId="0" xr:uid="{00000000-0006-0000-0200-000012000000}">
      <text>
        <r>
          <rPr>
            <sz val="11"/>
            <color theme="1"/>
            <rFont val="맑은 고딕"/>
            <family val="2"/>
            <scheme val="minor"/>
          </rPr>
          <t>PI그룹이 판단할 수 없어 비워 두었습니다.</t>
        </r>
      </text>
    </comment>
    <comment ref="AC5" authorId="0" shapeId="0" xr:uid="{00000000-0006-0000-0200-000013000000}">
      <text>
        <r>
          <rPr>
            <sz val="11"/>
            <color theme="1"/>
            <rFont val="맑은 고딕"/>
            <family val="2"/>
            <scheme val="minor"/>
          </rPr>
          <t>★ 현업 입력 대상.  TO-BE 에서 사람이 쓰는 시간(분/건). AI 단독이면 0.</t>
        </r>
      </text>
    </comment>
    <comment ref="AD5" authorId="0" shapeId="0" xr:uid="{00000000-0006-0000-0200-000014000000}">
      <text>
        <r>
          <rPr>
            <sz val="11"/>
            <color theme="1"/>
            <rFont val="맑은 고딕"/>
            <family val="2"/>
            <scheme val="minor"/>
          </rPr>
          <t>★ 현업 입력 대상.  TO-BE 사람 인원. AI·시스템 단독이면 0.</t>
        </r>
      </text>
    </comment>
    <comment ref="AF5" authorId="0" shapeId="0" xr:uid="{00000000-0006-0000-0200-000015000000}">
      <text>
        <r>
          <rPr>
            <sz val="11"/>
            <color theme="1"/>
            <rFont val="맑은 고딕"/>
            <family val="2"/>
            <scheme val="minor"/>
          </rPr>
          <t>TO-BE 산출물 — AI·시스템이 만들어 내는 결과물.</t>
        </r>
      </text>
    </comment>
    <comment ref="AL5" authorId="0" shapeId="0" xr:uid="{00000000-0006-0000-0200-000016000000}">
      <text>
        <r>
          <rPr>
            <sz val="11"/>
            <color theme="1"/>
            <rFont val="맑은 고딕"/>
            <family val="2"/>
            <scheme val="minor"/>
          </rPr>
          <t>AI 적용 난이도 판단 근거. 승인·판단·협상이 개입되면 상.</t>
        </r>
      </text>
    </comment>
    <comment ref="AM5" authorId="0" shapeId="0" xr:uid="{00000000-0006-0000-0200-000017000000}">
      <text>
        <r>
          <rPr>
            <sz val="11"/>
            <color theme="1"/>
            <rFont val="맑은 고딕"/>
            <family val="2"/>
            <scheme val="minor"/>
          </rPr>
          <t>"불편하다" 가 아니라 무엇이 왜 불편한지.
Weak Point 유형 : 병목 · 중복 · 단절 · 누락 · 편차</t>
        </r>
      </text>
    </comment>
    <comment ref="AN5" authorId="0" shapeId="0" xr:uid="{00000000-0006-0000-0200-000018000000}">
      <text>
        <r>
          <rPr>
            <sz val="11"/>
            <color theme="1"/>
            <rFont val="맑은 고딕"/>
            <family val="2"/>
            <scheme val="minor"/>
          </rPr>
          <t>공수·시간 지표는 왼쪽 [소요시간]·[인원 수] 로 이미 계산되므로 적지 않습니다.
그 밖에 관리하는 지표가 있으면 그것만 적어 주세요.
예) 오류 건수 · 누락률 · 리드타임 · 이행률 · 발행 주기 준수율 · 품질 편차
없으면 비워 둡니다.</t>
        </r>
      </text>
    </comment>
    <comment ref="AP5" authorId="0" shapeId="0" xr:uid="{00000000-0006-0000-0200-000019000000}">
      <text>
        <r>
          <rPr>
            <sz val="11"/>
            <color theme="1"/>
            <rFont val="맑은 고딕"/>
            <family val="2"/>
            <scheme val="minor"/>
          </rPr>
          <t>자동 계산 — 같은 L5 프로세스 ID 로 입력된 행 수.</t>
        </r>
      </text>
    </comment>
    <comment ref="AQ5" authorId="0" shapeId="0" xr:uid="{00000000-0006-0000-0200-00001A000000}">
      <text>
        <r>
          <rPr>
            <sz val="11"/>
            <color theme="1"/>
            <rFont val="맑은 고딕"/>
            <family val="2"/>
            <scheme val="minor"/>
          </rPr>
          <t>자동 계산 — 충분히 쪼갰는지 봅니다.
  ⚠ 1:1        L5 를 그대로 옮겨 적은 상태. 다시 쪼갠다
  △ 2단계       행이 2개뿐. 빠진 단계가 없는지 확인
  △ 동작 편중   행은 3개 이상인데 동작 유형이 2종 이하
  ○ 적정 (N종)  동작 유형 N종
동작 유형 = 조회 · 작성 · 검증 · 등록 (5단계 질문법의 ②③④⑤).
전부 「작성」류면 조회·검증·등록 단계를 안 적은 것입니다.
행 수만 늘리고 내용이 비슷하면 여기서 잡힙니다.</t>
        </r>
      </text>
    </comment>
    <comment ref="AR5" authorId="0" shapeId="0" xr:uid="{00000000-0006-0000-0200-00001B000000}">
      <text>
        <r>
          <rPr>
            <sz val="11"/>
            <color theme="1"/>
            <rFont val="맑은 고딕"/>
            <family val="2"/>
            <scheme val="minor"/>
          </rPr>
          <t>자동 계산 — 공수 계산에 필요한 칸이 채워졌는지 본다.
대상 : 수행 주체 · 소요시간 · 인원 수 · 빈도 단위 + (건별·비정기면 연 대상 건수, 그 외면 빈도 횟수)
        / TO-BE 소요시간 · 인원 수
① 변화 유형이 [신설] 이면 AS-IS 칸을 세지 않습니다.
① 변화 유형이 [삭제] 이면 TO-BE 칸을 세지 않습니다.</t>
        </r>
      </text>
    </comment>
    <comment ref="AS5" authorId="0" shapeId="0" xr:uid="{00000000-0006-0000-0200-00001C000000}">
      <text>
        <r>
          <rPr>
            <sz val="11"/>
            <color theme="1"/>
            <rFont val="맑은 고딕"/>
            <family val="2"/>
            <scheme val="minor"/>
          </rPr>
          <t>자동 계산 — 중복 · 세분화 · 논리 위반을 한 칸에 모아 표시한다. 경고이며 입력을 막지는 않는다.
[중복]
  L5복붙      L5 이름이 업무 내용에 그대로 들어 있음
  TOBE복붙    업무 내용 = TO-BE 설명
  내용중복    같은 L5 안에 같은 업무 내용
  In=Out      필요 데이터 = 산출물
  흐름단절    앞 행 산출물이 이 행 필요 데이터에 없음
[세분화]
  금지동사    관리한다 · 처리한다 · 수행한다 · 진행한다
  복합동작    "~하고 ~한다" — 한 행에 동작 2개
  종결어      "~한다" 로 끝나지 않음
  60분초과    1건 60분 초과 — 아직 뭉쳐 있다는 신호
[논리]
  AI인데인원&gt;0        ③ 주체 AI 단독인데 TO-BE 인원이 남음
  AI+사람인데인원0    사람이 확인한다면서 인원 0
  유지+AI            ① 유지인데 ② 적용 수단이 AI
  신설인데ASIS       ① 신설인데 AS-IS 공수가 채워짐
  삭제인데TOBE       ① 삭제인데 TO-BE 공수가 채워짐
  공수증가            TO-BE 공수가 AS-IS 보다 큼</t>
        </r>
      </text>
    </comment>
  </commentList>
</comments>
</file>

<file path=xl/sharedStrings.xml><?xml version="1.0" encoding="utf-8"?>
<sst xmlns="http://schemas.openxmlformats.org/spreadsheetml/2006/main" count="2222" uniqueCount="983">
  <si>
    <t>L6(Task 단위) 프로세스 취합양식  v14</t>
  </si>
  <si>
    <t>과제 #4 · 마켓센싱 리포트 AI 전환   |   에스원 AX/PI센터 PI그룹 · 260814</t>
  </si>
  <si>
    <t>★ 핵심</t>
  </si>
  <si>
    <t>L5 프로세스 1개는 L6 Task 3개 이상으로 쪼개집니다.
L5 이름을 단어만 바꿔 L6 칸에 옮겨 적으면(1:1) AI 설계에 쓸 수 없습니다.
[02.L6 세분화] 맨 오른쪽 [검증] 열이 1:1 행과 미입력 칸을 자동으로 표시합니다.</t>
  </si>
  <si>
    <t>★ TO-BE 3단 구분</t>
  </si>
  <si>
    <t>TO-BE 를 세 칸으로 나눠 적습니다. 섞어 쓰면 취합 때 집계가 안 됩니다.
① 변화 유형 — 어떻게 바뀌나 :  유지 · 변경 · 신설 · 삭제
② 적용 수단 — 무엇으로      :  AI · N-ERP · 시스템(AI 외) · 없음
③ 수행 주체 — 결국 누가     :  사람 · 시스템 · AI · AI+사람
예) 사람이 엑셀로 집계하던 것을 AI 가 자동 집계        →  ① 변경   ② AI            ③ AI
예) 사람 판단을 AI 초안 + 사람 확정으로               →  ① 변경   ② AI            ③ AI+사람
예) N-ERP 표준기능 개선으로 자동 처리                →  ① 변경   ② N-ERP         ③ 시스템
예) 룰엔진·RPA 로 자동 처리                        →  ① 변경   ② 시스템(AI 외)  ③ 시스템
예) 그대로 사람이 한다                             →  ① 유지   ② 없음          ③ 사람
※ "자동화" 는 ① 값이 아닙니다. 「변경 + AI」 또는 「변경 + 시스템」 으로 적습니다.
※ ③ 수행 주체는 AS-IS · TO-BE 가 같은 목록입니다. 두 칸을 비교하면 무엇이 넘어가는지 보입니다.</t>
  </si>
  <si>
    <t>★ 비워 둔 칸</t>
  </si>
  <si>
    <t>PI그룹이 판단할 수 없어 비워 둔 칸입니다. 현업만 채울 수 있습니다.
· 수행조직 (AS-IS · TO-BE)  — 실제 수행 부서·팀
· 소요시간 · 인원 수 · 빈도 단위 · 빈도 횟수 · 연 대상 건수  (분홍 머리글)
· 기타 KPI — 공수·시간 외에 관리하는 지표가 있을 때만
· 작성자 · 작성일
숫자 칸에는 숫자만 들어갑니다. 모르면 비우고 [추가 필요내용] 에 무엇을 모르는지 적어 주세요.</t>
  </si>
  <si>
    <t>★ 회신 전에 [검증] 4칸만 보세요</t>
  </si>
  <si>
    <t>맨 오른쪽 [검증] 4칸이 자동으로 검사해 줍니다. 경고일 뿐 입력을 막지는 않습니다.
① 몇 개로 쪼갰나    같은 L5 에 몇 줄을 썼는지
② 충분히 쪼갰나    ⚠ 1개뿐 / △ 2개뿐 / △ 하는 일이 N가지뿐 / ○ 좋음
                    ★ 줄 수만 늘리고 내용이 비슷하면 「하는 일이 N가지뿐」 으로 잡힙니다
                    하는 일 = 찾기 · 만들기 · 확인하기 · 넘기기.  전부 「만들기」 면
                    자료를 어디서 가져오는지, 완성본을 어디에 올리는지를 안 적은 것입니다
③ 빈칸 있나        시간 계산에 필요한 칸이 몇 개 비었는지
                    (신설 줄은 현재 칸을, 삭제 줄은 개선 후 칸을 세지 않습니다)
④ 고칠 점 있나      같은 말 반복 · 덜 쪼갠 것 · 앞뒤 안 맞는 것을 짚어 줍니다
문제가 있는 줄은 왼쪽이 붉게(⚠) 또는 주황(△)으로 칠해집니다.
각 머리글에 마우스를 올리면 무엇을 검사하는지 전부 나옵니다.</t>
  </si>
  <si>
    <t>★ [기준] 칸은 비워도 됩니다</t>
  </si>
  <si>
    <t>판단 기준이 있을 때만 적습니다. 없으면 그냥 비워 두세요.
적는 것 — 무엇을 보고 「된다 / 안 된다」 를 가르나
  「도급액 30억 이상이면 RM파트, 30억 미만이면 엔지니어링팀장」
  「하도급 비율 50% 초과면 위반」
  「전월 대비 변동 폭이 크고 사업 영향도가 높은 것」
적지 않는 것 — 언제 · 누구에게 · 어떤 형식으로 하는지
  「대상 : 전 프로젝트」  「주기 : 월 1회」  「수신 : 임원」  「형식 : 3줄 요약」
기준을 글로 쓸 수 있으면 그대로 자동화됩니다.
쓸 수 없으면 사람 감각으로 하는 일이라는 뜻이고, 그 일은 사람이 계속 맡게 됩니다.</t>
  </si>
  <si>
    <t>시트 구성</t>
  </si>
  <si>
    <t>00.사용안내         이 시트
01.과제 개요        과제 배경 · 목표 · 대상 프로세스 (읽기용)
02.L6 세분화        ★ 입력 시트. 여기에만 씁니다
03.전체 프로세스 목록  본 과제가 속한 L1 기능의 전 프로세스 (참조 · 누락 점검)
04.코드표          드롭다운 원본 · 환산 계수</t>
  </si>
  <si>
    <t>쓰는 순서</t>
  </si>
  <si>
    <t>① [01.과제 개요] 로 과제의 배경·목표·대상 프로세스를 확인합니다.
② [02.L6 세분화] 상단 노란 밴드의 작성 규칙을 읽습니다. (스크롤해도 계속 보입니다)
③ 연노랑 초안 행을 실제 업무에 맞게 고치고, 빠진 Task 를 아래에 이어서 적습니다.
④ 비어 있는 칸을 채웁니다. 열 머리글에 마우스를 올리면 작성 요령이 뜹니다.
⑤ [03.전체 프로세스 목록] 에서 「⚠ 과제 범위 · L6 미작성」 행이 남아 있는지 확인합니다.
⑥ [검증] 3개 열에 ⚠ 가 없는지 확인한 뒤, 파일명 뒤에 본인 이름을 붙여 회신합니다.</t>
  </si>
  <si>
    <t>화면 조작</t>
  </si>
  <si>
    <t>· 틀 고정 — [업무 내용] 열까지 고정. 오른쪽으로 스크롤해도 남습니다.
· 머리글 색 — 청색 = AS-IS · 주황 = 변화 유형 · 녹색 = TO-BE · 분홍 = 숫자 입력 · 회색 = 자동 계산
· 열 그룹 — 상단 1 / 2 버튼과 ± 로 AS-IS · TO-BE 블록을 각각 접을 수 있습니다
· 자동 필터 — 머리글 행 필터로 수행 주체 · 검증 결과 등을 걸러 볼 수 있습니다</t>
  </si>
  <si>
    <t>Task 분리 기준</t>
  </si>
  <si>
    <t>L6 세분화 가이드라인 v1 기준. 다음 중 하나라도 바뀌면 별도 행으로 나눕니다.
· 수행자(담당자·부서)가 바뀔 때        · 시스템 · 도구가 바뀔 때
· 의사결정(승인 · 확정 · 판단)이 발생할 때   ★ AI 적용 난이도 판단에 중요
· Input 데이터의 종류 · 출처가 바뀔 때   · 산출물(Output)이 바뀔 때
※ 통상 1~30분 내 완료 단위. 클릭 1회 같은 5초 이하 동작까지는 내려가지 않습니다.</t>
  </si>
  <si>
    <t>환산 기준</t>
  </si>
  <si>
    <t>· 1 FTE = 2,000 H / 년
· 연간 공수(H) = 소요시간(분) × 인원 수 × 연환산 ÷ 60
· 빈도 환산계수 : 일 250 · 주 52 · 월 12 · 건별/비정기 = 각 행의 [연 대상 건수] 값
· 위 값은 [04.코드표] 에서 바꿀 수 있고, 바꾸면 효과 산출 열 전체가 갱신됩니다.</t>
  </si>
  <si>
    <t>과제 개요</t>
  </si>
  <si>
    <t>출처 : PI Portal [E2E 과제현황] · N-ERP To-Be 프로세스 체계도   |   값은 원본 그대로입니다.</t>
  </si>
  <si>
    <t>항목</t>
  </si>
  <si>
    <t>내용</t>
  </si>
  <si>
    <t>1. 과제 식별</t>
  </si>
  <si>
    <t>과제 번호</t>
  </si>
  <si>
    <t>PI Portal E2E 과제현황 #4   (종전 #1)</t>
  </si>
  <si>
    <t>과제명</t>
  </si>
  <si>
    <t>마켓센싱 리포트 AI 전환</t>
  </si>
  <si>
    <t>부문</t>
  </si>
  <si>
    <t>시큐리티</t>
  </si>
  <si>
    <t>주관 (제출)</t>
  </si>
  <si>
    <t>임원 : 김현국 상무
조직장 : 운영팀장</t>
  </si>
  <si>
    <t>대상 프로세스</t>
  </si>
  <si>
    <t>연결된 최말단 프로세스 10건
· 1.1.2.5.1    마케팅 &gt; Market Intelligence &gt; MI 정보수집 &gt; 수집 대상 자료 리서치 &gt; 기 보유 MI정보리스트 우선 검색
· 1.1.2.8.1    마케팅 &gt; Market Intelligence &gt; MI 정보수집 &gt; 보고서 등록 &gt; MI 시스템에 조사 보고서 등록
· 1.1.2.10.1   마케팅 &gt; Market Intelligence &gt; MI 정보수집 &gt; 자료/데이터 요청 &gt; 자료/데이터 요청
· 1.1.3.4.1    마케팅 &gt; Market Intelligence &gt; MI 정보분석 및 시사점 도출 &gt; 기술 환경 분석 &gt; 기술 환경 분석
· 1.1.3.5.1    마케팅 &gt; Market Intelligence &gt; MI 정보분석 및 시사점 도출 &gt; 시사점 도출 &gt; 환경분석 시사점도출
· 1.1.3.12.1   마케팅 &gt; Market Intelligence &gt; MI 정보분석 및 시사점 도출 &gt; 경쟁사 상품 비교 분석 &gt; 경쟁사 상품 비교 분석
· 1.1.3.19.1   마케팅 &gt; Market Intelligence &gt; MI 정보분석 및 시사점 도출 &gt; 주요 시사점 도출 &gt; 고객분석 시사점 도출
· 1.1.3.20.1   마케팅 &gt; Market Intelligence &gt; MI 정보분석 및 시사점 도출 &gt; 조사 보고서 작성 &gt; 일간 MI뉴스 작성
· 1.1.3.20.2   마케팅 &gt; Market Intelligence &gt; MI 정보분석 및 시사점 도출 &gt; 조사 보고서 작성 &gt; 시장환경분석서작성
· 1.1.3.20.3   마케팅 &gt; Market Intelligence &gt; MI 정보분석 및 시사점 도출 &gt; 조사 보고서 작성 &gt; 월간 MI리포트 작성</t>
  </si>
  <si>
    <t>2. 배경 · 현상</t>
  </si>
  <si>
    <t>Weak Point 유형</t>
  </si>
  <si>
    <t>병목</t>
  </si>
  <si>
    <t>현상</t>
  </si>
  <si>
    <t>수집·정리·정형화·분석을 사람이 수작업 반복하고, 주제 선정과 인사이트 도출이 암묵지·특정인에 의존해
품질 편차가 발생한다</t>
  </si>
  <si>
    <t>3. 개선 방향</t>
  </si>
  <si>
    <t>개선 내용</t>
  </si>
  <si>
    <t>정형·반복 업무(수집·정리·시각화)는 자동화로 대체하고, 주제 선정·인사이트 도출은 4개
관점(상품/서비스·영업/채널·기술/인프라·마케팅) 다관점 AI 에이전트와 암묵지 자산화로 고도화한다 —
최종 판단은 사람</t>
  </si>
  <si>
    <t>Tool</t>
  </si>
  <si>
    <t>AI</t>
  </si>
  <si>
    <t>자동화 수준</t>
  </si>
  <si>
    <t>A   (원본 코드 그대로)</t>
  </si>
  <si>
    <t>필요 데이터</t>
  </si>
  <si>
    <t>공공·정책 자료, 미디어·뉴스, 연구·전문보고서, 국내외 기술전, 트렌드 뉴스레터</t>
  </si>
  <si>
    <t>데이터 보유 시스템</t>
  </si>
  <si>
    <t>정책브리핑 · 국가데이터처 · 주요 언론사 · 한국은행/KDI/산업연구원 · 광고사 뉴스레터</t>
  </si>
  <si>
    <t>4. 기대효과</t>
  </si>
  <si>
    <t>효과 구분</t>
  </si>
  <si>
    <t>효율 제고</t>
  </si>
  <si>
    <t>KPI</t>
  </si>
  <si>
    <t>· 지표 : 업무 공수
· AS-IS : 0.5H/일 · 1MM
· TO-BE : 0.05H/일 · 0.1MM</t>
  </si>
  <si>
    <t>L6 실측 절감</t>
  </si>
  <si>
    <t>[02.L6 세분화] 의 효과 산출 열에 자동 계산됩니다.
인원 수 1 이상인 행(사람 공수)만 집계합니다.  ·  1 FTE = 2,000 H / 년
현재는 소요시간·인원 값이 비어 있어 0 으로 표시됩니다.</t>
  </si>
  <si>
    <t>5. 안내</t>
  </si>
  <si>
    <t>초안 범위</t>
  </si>
  <si>
    <t>[02.L6 세분화] 의 연노랑 행 22건은 임원 제출자료에 근거가 있는 프로세스 5개를
PI그룹이 L6 로 쪼갠 제안입니다. 확정본이 아닙니다.
업무 내용 · 수행 주체 · Input · 산출물 · TO-BE 설명은 PI그룹 작성입니다.
실제 업무와 다르면 고치고, 빠진 Task 는 이어서 적어 주세요.
나머지 행은 매핑된 프로세스를 한 줄씩 깔아 둔 것입니다 — 해당 업무를 하신다면
그 줄도 L6 로 쪼개 주시고, 우리 업무가 아니면 [추가 필요내용] 에 그렇게 적어 주세요.</t>
  </si>
  <si>
    <t>비워 둔 칸</t>
  </si>
  <si>
    <t>수행조직 · 소요시간 · 인원 수 · 빈도 단위 · 빈도 횟수 · 연 대상 건수 · 기타 KPI · 작성자
→ PI그룹이 판단할 수 없는 값입니다. 추정치를 넣지 않았습니다.</t>
  </si>
  <si>
    <t>확인 필요</t>
  </si>
  <si>
    <t>① [02.L6 세분화] 의 빈칸 전부
② L6 분해(안) 이 실제 업무 순서·범위와 맞는지 — 빠진 Task · 불필요한 Task · 순서
③ 연결된 프로세스가 본 과제 범위와 맞는지 (틀리면 알려 주세요 — 매핑을 고칩니다)
④ 담당 작성자 · 회신 기한</t>
  </si>
  <si>
    <t>L6(Task 단위) 프로세스 세분화 — 과제 #4 · 마켓센싱 리포트 AI 전환</t>
  </si>
  <si>
    <t>★ L5 1개  →  L6 3개 이상.   L5 이름을 단어만 바꿔 옮겨 적으면(1:1) AI 설계에 쓸 수 없습니다.   맨 오른쪽 [검증] 열이 1:1 행과 미입력 칸을 자동으로 잡아냅니다.
쪼개는 법 ▶  ① 무엇이 이 업무를 시작시키나  →  ② 시작 전 무엇을 찾아보나(조회·수집)  →  ③ 찾은 것으로 무엇을 만드나(작성·생성)  →  ④ 맞는지 누가 확인하나(검증·판단·승인)  →  ⑤ 결과는 어디로 가나(등록·발송·보고)
TO-BE 3단 ▶  ① 변화 유형 = 어떻게 바뀌나 (유지 · 변경 · 신설 · 삭제)   ② 적용 수단 = 무엇으로 (AI · N-ERP · 시스템(AI 외) · 없음)   ③ 수행 주체 = 결국 누가 (사람 · 시스템 · AI · AI+사람)
산출물 ▶  AS-IS · TO-BE 각각 적습니다. 앞 행의 [산출물] 이 뒷 행의 [필요 데이터] 로 이어지면 순서가 맞습니다.
문장 ▶  쓰지 말 것 : 관리한다 · 처리한다 · 수행한다 · 진행한다     쓸 것 : 조회 · 입력 · 산출 · 판정 · 검토 · 승인 · 발송 · 등록     1행 = 1 Task     주어·괄호 없이 "~한다" 로 종결
분홍 머리글 칸 ▶  숫자만 넣습니다. 모르면 비워 두고 [추가 필요내용] 에 적어 주세요.   ● 필수 · ◐ 조건부(빈도 단위에 따라 하나만)   회색 열은 자동 계산이라 입력하지 않습니다.   빈도는 AS-IS 만 씁니다.
[검증] 4칸 ▶  몇 개로 쪼갰나 · 충분히 쪼갰나 · 빈칸 있나 · 고칠 점 있나.   문제가 있는 행은 왼쪽이 붉게(⚠) 또는 주황(△)으로 칠해집니다. 경고일 뿐 입력을 막지는 않습니다.   머리글에 마우스를 올리면 무엇을 검사하는지 다 나옵니다.
[기준] ▶  판단 기준이 있을 때만 적습니다.  「대상 : 전 프로젝트」 「주기 : 월 1회」 같은 건 기준이 아니라서 안 적습니다.</t>
  </si>
  <si>
    <t>식별 · 프로세스 연결   (사전 채움)</t>
  </si>
  <si>
    <t>업무 정의</t>
  </si>
  <si>
    <t>AS-IS   현재 업무</t>
  </si>
  <si>
    <t>변화</t>
  </si>
  <si>
    <t>TO-BE   개선 후</t>
  </si>
  <si>
    <t>효과 산출   (자동계산)</t>
  </si>
  <si>
    <t>판단 · 보완</t>
  </si>
  <si>
    <t>검증   (자동계산)</t>
  </si>
  <si>
    <t>취합</t>
  </si>
  <si>
    <t>No</t>
  </si>
  <si>
    <t>● L5 / 프로세스 ID</t>
  </si>
  <si>
    <t>과제ID</t>
  </si>
  <si>
    <t>● 부문</t>
  </si>
  <si>
    <t>● L1</t>
  </si>
  <si>
    <t>● L2</t>
  </si>
  <si>
    <t>● L3</t>
  </si>
  <si>
    <t>● L4</t>
  </si>
  <si>
    <t>● L5</t>
  </si>
  <si>
    <t>L6 ID (자동)</t>
  </si>
  <si>
    <t>● 업무 내용 (L6)
"~를 ~한다"</t>
  </si>
  <si>
    <t>기준
(있을 때만)</t>
  </si>
  <si>
    <t>● ③ 수행 주체</t>
  </si>
  <si>
    <t>수행조직</t>
  </si>
  <si>
    <t>● 소요시간
(분/건)</t>
  </si>
  <si>
    <t>● 인원 수</t>
  </si>
  <si>
    <t>◐ 빈도 횟수</t>
  </si>
  <si>
    <t>◐ 연 대상
건수</t>
  </si>
  <si>
    <t>● 필요 데이터
(Input)</t>
  </si>
  <si>
    <t>● 산출물
(Output)</t>
  </si>
  <si>
    <t>◐ 데이터 위치
(시스템)</t>
  </si>
  <si>
    <t>● ① 변화 유형</t>
  </si>
  <si>
    <t>● ② 적용 수단</t>
  </si>
  <si>
    <t>● TO-BE
프로세스 설명</t>
  </si>
  <si>
    <t>필요 데이터
(Input)</t>
  </si>
  <si>
    <t>데이터 위치
(시스템)</t>
  </si>
  <si>
    <t>연간 AS-IS
공수(H)</t>
  </si>
  <si>
    <t>연간 TO-BE
공수(H)</t>
  </si>
  <si>
    <t>절감
(H/년)</t>
  </si>
  <si>
    <t>절감
FTE</t>
  </si>
  <si>
    <t>의사결정
복잡도</t>
  </si>
  <si>
    <t>불편한 점
(Weak Point)</t>
  </si>
  <si>
    <t>기타 KPI
(공수 · 시간 외)</t>
  </si>
  <si>
    <t>추가 필요내용
(비고)</t>
  </si>
  <si>
    <t>[검증]
이 L5의
Task 수</t>
  </si>
  <si>
    <t>[검증]
쪼개기 상태</t>
  </si>
  <si>
    <t>[검증]
빈칸</t>
  </si>
  <si>
    <t>[검증]
고칠 점</t>
  </si>
  <si>
    <t>작성자</t>
  </si>
  <si>
    <t>작성일</t>
  </si>
  <si>
    <t>1.1.2.5.1</t>
  </si>
  <si>
    <t>#4</t>
  </si>
  <si>
    <t>마케팅</t>
  </si>
  <si>
    <t>Market Intelligence</t>
  </si>
  <si>
    <t>MI 정보수집</t>
  </si>
  <si>
    <t>수집 대상 자료 리서치</t>
  </si>
  <si>
    <t>기 보유 MI정보리스트 우선 검색</t>
  </si>
  <si>
    <t>공공·정책, 미디어, 연구보고서 등 기본 채널에서 대상
자료를 수집한다</t>
  </si>
  <si>
    <t>사람</t>
  </si>
  <si>
    <t>공공·정책 자료, 미디어·뉴스,
연구·전문보고서, 기술전 정보,
트렌드 뉴스레터</t>
  </si>
  <si>
    <t>수집 원자료</t>
  </si>
  <si>
    <t>외부</t>
  </si>
  <si>
    <t>변경</t>
  </si>
  <si>
    <t>5개 기본축 채널을 크롤링으로 자동 수집해 분석가의 수동
소싱을 대체한다</t>
  </si>
  <si>
    <t>AI Agent DB</t>
  </si>
  <si>
    <t>하</t>
  </si>
  <si>
    <t>기 보유 MI정보리스트와 대조하여 중복 자료를 제거한다</t>
  </si>
  <si>
    <t>수집 원자료, 기 보유
MI정보리스트</t>
  </si>
  <si>
    <t>중복 제거된 자료 목록</t>
  </si>
  <si>
    <t>기 보유 리스트와의 대조가 자동 수행되어 중복 자료가
수집 단계에서 걸러진다</t>
  </si>
  <si>
    <t>이미 보유한 자료인지 사람이 일일이
검색해 확인해야 한다</t>
  </si>
  <si>
    <t>자료가 정의된 조사 범위와 선별 기준에 부합하는지
여부</t>
  </si>
  <si>
    <t>중복 제거된 자료 목록,
범위·선별 기준</t>
  </si>
  <si>
    <t>1차 선별 자료</t>
  </si>
  <si>
    <t>offline(개인PC)</t>
  </si>
  <si>
    <t>AI가 사전 정의된 선별 기준으로 1차 선별을 수행하고
분석가는 경계 사례만 확인한다</t>
  </si>
  <si>
    <t>AI+사람</t>
  </si>
  <si>
    <t>상</t>
  </si>
  <si>
    <t>무엇을 왜 뽑는지가 암묵지로 남아
특정인에 의존하고 품질 편차가 발생한다</t>
  </si>
  <si>
    <t>선별 결과와 채택·기각 사유를 지식 계층에 기록한다</t>
  </si>
  <si>
    <t>1차 선별 자료, 채택·기각 판단
근거</t>
  </si>
  <si>
    <t>채택/기각 기록</t>
  </si>
  <si>
    <t>신설</t>
  </si>
  <si>
    <t>채택과 기각의 근거를 표준 양식으로 구조화해 기록하고
이후 학습 데이터로 활용한다</t>
  </si>
  <si>
    <t>중</t>
  </si>
  <si>
    <t>왜 뽑고 왜 버렸는지가 기록되지 않아
판단 근거가 조직에 남지 않는다</t>
  </si>
  <si>
    <t>1.1.2.8.1</t>
  </si>
  <si>
    <t>보고서 등록</t>
  </si>
  <si>
    <t>MI 시스템에 조사 보고서 등록</t>
  </si>
  <si>
    <t>1.1.2.10.1</t>
  </si>
  <si>
    <t>자료/데이터 요청</t>
  </si>
  <si>
    <t>1.1.3.4.1</t>
  </si>
  <si>
    <t>MI 정보분석 및 시사점 도출</t>
  </si>
  <si>
    <t>기술 환경 분석</t>
  </si>
  <si>
    <t>수집·선별된 자료에서 기술 환경 관련 정보를 추출한다</t>
  </si>
  <si>
    <t>1차 선별 자료, 국내외 기술전
정보</t>
  </si>
  <si>
    <t>기술 환경 관련 정보</t>
  </si>
  <si>
    <t>AI가 선별 자료에서 기술 환경 관련 항목을 자동 추출해
분석 입력으로 정리한다</t>
  </si>
  <si>
    <t>분석에 쓸 내용을 자료 더미에서 사람이
골라내야 한다</t>
  </si>
  <si>
    <t>외부 기술 변화가 내부 기술 역량과 시스템에 미치는
영향을 분석한다</t>
  </si>
  <si>
    <t>기술 환경 분석 결과</t>
  </si>
  <si>
    <t>기술/인프라 관점 에이전트가 내부 역량·시스템 영향
관점의 분석안을 제시한다</t>
  </si>
  <si>
    <t>분석 관점이 담당자 개인의 시각에
한정되어 놓치는 영역이 생긴다</t>
  </si>
  <si>
    <t>분석에 필요한 통계 수치를 표·이미지로 시각화한다</t>
  </si>
  <si>
    <t>기술 환경 분석 결과, 통계 자료</t>
  </si>
  <si>
    <t>표·이미지 시각화 자료</t>
  </si>
  <si>
    <t>수치 보완과 표·이미지 제작이 자동화되어 분석가는
해석에 집중한다</t>
  </si>
  <si>
    <t>수치 보완과 표·이미지 제작에 분석가
시간이 과도하게 소모된다</t>
  </si>
  <si>
    <t>분석 결과의 타당성을 검토하여 채택 여부를 결정한다</t>
  </si>
  <si>
    <t>제시된 분석 내용이 근거 자료로 뒷받침되는지 여부</t>
  </si>
  <si>
    <t>기술 환경 분석 결과, 표·이미지
시각화 자료</t>
  </si>
  <si>
    <t>확정된 기술 환경 분석</t>
  </si>
  <si>
    <t>AI 분석안에 대해 사람이 최종 채택·기각을 표시하고 그
판단이 기록으로 남는다</t>
  </si>
  <si>
    <t>검토 기준이 명문화돼 있지 않아 결과
품질이 담당자에 따라 달라진다</t>
  </si>
  <si>
    <t>1.1.3.5.1</t>
  </si>
  <si>
    <t>시사점 도출</t>
  </si>
  <si>
    <t>환경분석 시사점도출</t>
  </si>
  <si>
    <t>정치·경제·사회·기술 환경 분석 결과를 조회한다</t>
  </si>
  <si>
    <t>확정된 환경 분석 결과</t>
  </si>
  <si>
    <t>환경 분석 종합 자료</t>
  </si>
  <si>
    <t>환경별 분석 결과가 하나의 입력으로 자동 취합되어
시사점 도출 단계로 전달된다</t>
  </si>
  <si>
    <t>분석 결과가 문서별로 흩어져 있어
종합에 별도 정리 작업이 필요하다</t>
  </si>
  <si>
    <t>상품/서비스·영업/채널·기술/인프라·마케팅 4개 관점별로
시사점을 도출한다</t>
  </si>
  <si>
    <t>환경 분석 종합 자료, 관점별
역할 정의</t>
  </si>
  <si>
    <t>관점별 시사점</t>
  </si>
  <si>
    <t>4개 관점 에이전트가 각자의 시각에서 시사점을 동시에
도출해 다관점 결과를 제시한다</t>
  </si>
  <si>
    <t>인사이트 도출이 특정인의 암묵지에
의존해 관점이 한쪽으로 치우친다</t>
  </si>
  <si>
    <t>관점 간 결론 충돌 여부와 확신도를 확인한다</t>
  </si>
  <si>
    <t>관점별 시사점 사이에 상반된 결론이 존재하는지
여부</t>
  </si>
  <si>
    <t>관점 충돌·확신도 확인 결과</t>
  </si>
  <si>
    <t>관점 충돌과 확신도가 화면에 표시되어 사람이 판단해야
할 지점을 먼저 드러낸다</t>
  </si>
  <si>
    <t>서로 다른 해석이 있어도 드러나지 않아
한 사람의 결론이 그대로 굳어진다</t>
  </si>
  <si>
    <t>최종 시사점의 채택과 기각을 판단하여 표시한다</t>
  </si>
  <si>
    <t>시사점이 근거로 뒷받침되고 관점 충돌이
해소되었는지 여부</t>
  </si>
  <si>
    <t>확정 시사점</t>
  </si>
  <si>
    <t>관점이 충돌하는 지점은 사람이 최종 판단해 채택·기각을
표시한다</t>
  </si>
  <si>
    <t>판단 결과만 남고 왜 그렇게
판단했는지는 남지 않아 품질 편차가
재발한다</t>
  </si>
  <si>
    <t>채택·기각의 판단 근거를 지식 계층에 기록한다</t>
  </si>
  <si>
    <t>확정 시사점, 판단 근거</t>
  </si>
  <si>
    <t>암묵지 구조화 기록</t>
  </si>
  <si>
    <t>결론이 아닌 근거를 코드화해 기록하고 축적된 사례가
평가기준·프롬프트 개선에 환류된다</t>
  </si>
  <si>
    <t>판단 근거가 개인의 머릿속에만 있어
조직 자산으로 축적되지 않는다</t>
  </si>
  <si>
    <t>1.1.3.12.1</t>
  </si>
  <si>
    <t>경쟁사 상품 비교 분석</t>
  </si>
  <si>
    <t>1.1.3.19.1</t>
  </si>
  <si>
    <t>주요 시사점 도출</t>
  </si>
  <si>
    <t>고객분석 시사점 도출</t>
  </si>
  <si>
    <t>1.1.3.20.1</t>
  </si>
  <si>
    <t>조사 보고서 작성</t>
  </si>
  <si>
    <t>일간 MI뉴스 작성</t>
  </si>
  <si>
    <t>알람 및 SI시장 관련 기사를 주요 일간지와 유관 기관
사이트에서 스크랩한다</t>
  </si>
  <si>
    <t>미디어·뉴스, 유관 기관
공개자료</t>
  </si>
  <si>
    <t>스크랩 기사 목록</t>
  </si>
  <si>
    <t>관련 기사가 자동 크롤링되어 스크랩 목록이 생성된다</t>
  </si>
  <si>
    <t>매일 여러 사이트를 사람이 돌며 기사를
찾아 옮겨 붙인다</t>
  </si>
  <si>
    <t>스크랩한 기사를 요약·번역한다</t>
  </si>
  <si>
    <t>요약·정형화된 기사</t>
  </si>
  <si>
    <t>기사별 요약·번역·용어 정리를 AI가 자동 처리해 정형화된
형태로 산출한다</t>
  </si>
  <si>
    <t>기사별 요약·번역·용어 정리를
수작업으로 반복해 분석 시간을 잠식한다</t>
  </si>
  <si>
    <t>정리된 기사 중 뉴스에 실을 대상을 선정한다</t>
  </si>
  <si>
    <t>기사가 선정 기준상 왜 다뤄야 하는지에 대한
근거를 갖추었는지 여부</t>
  </si>
  <si>
    <t>요약·정형화된 기사, 선별 기준</t>
  </si>
  <si>
    <t>게재 대상 기사</t>
  </si>
  <si>
    <t>AI가 근거를 붙여 후보를 제시하고 분석가가 최종 채택
여부를 판단한다</t>
  </si>
  <si>
    <t>주제 선정이 개인 판단에 의존해
담당자가 바뀌면 결과가 달라진다</t>
  </si>
  <si>
    <t>확정된 일간 MI뉴스를 편집하여 발송한다</t>
  </si>
  <si>
    <t>일간 MI뉴스</t>
  </si>
  <si>
    <t>Knox(메일)</t>
  </si>
  <si>
    <t>표준 양식으로 자동 편집된 일간 MI뉴스가 배포 대상에게
발송된다</t>
  </si>
  <si>
    <t>취합·편집·발송을 매일 사람이 반복해
정형 업무에 시간이 묶인다</t>
  </si>
  <si>
    <t>1.1.3.20.2</t>
  </si>
  <si>
    <t>시장환경분석서작성</t>
  </si>
  <si>
    <t>1.1.3.20.3</t>
  </si>
  <si>
    <t>월간 MI리포트 작성</t>
  </si>
  <si>
    <t>월간 주요 시장·경쟁사·고객 동향 정보를 취합한다</t>
  </si>
  <si>
    <t>확정 시사점, 월간 동향 자료</t>
  </si>
  <si>
    <t>월간 동향 취합본</t>
  </si>
  <si>
    <t>월간 동향 자료가 자동 취합되어 리포트 초안 입력으로
전달된다</t>
  </si>
  <si>
    <t>월말에 자료를 다시 모아 정리하는 취합
작업이 반복된다</t>
  </si>
  <si>
    <t>시장환경분석서의 주요 변동사항을 요약한다</t>
  </si>
  <si>
    <t>시장환경분석서, 월간 동향
취합본</t>
  </si>
  <si>
    <t>주요 변동사항 요약</t>
  </si>
  <si>
    <t>직전 분석서와 대비한 변동사항을 AI가 자동 추출해
요약한다</t>
  </si>
  <si>
    <t>무엇이 달라졌는지 사람이 이전 문서와
비교해 찾아내야 한다</t>
  </si>
  <si>
    <t>취합·요약 내용을 리포트 형식으로 편집한다</t>
  </si>
  <si>
    <t>월간 동향 취합본, 주요
변동사항 요약</t>
  </si>
  <si>
    <t>월간 MI리포트 초안</t>
  </si>
  <si>
    <t>표준 리포트 양식에 맞춰 초안이 자동 편집되어 생성된다</t>
  </si>
  <si>
    <t>편집·서식 맞추기에 분석가 시간이
소모된다</t>
  </si>
  <si>
    <t>리포트 내용의 근거를 최종 검토하여 확정한다</t>
  </si>
  <si>
    <t>리포트에 담긴 시사점이 채택된 근거와 일치하는지
여부</t>
  </si>
  <si>
    <t>월간 MI리포트 초안, 암묵지
구조화 기록</t>
  </si>
  <si>
    <t>확정 월간 MI리포트</t>
  </si>
  <si>
    <t>근거 기록과 대조한 검토를 거쳐 사람이 최종 확정한다</t>
  </si>
  <si>
    <t>근거를 되짚어 볼 기록이 없어 검토가
형식적으로 흐른다</t>
  </si>
  <si>
    <t>확정된 월간 MI리포트를 관련 조직에 발송한다</t>
  </si>
  <si>
    <t>발송된 월간 MI리포트</t>
  </si>
  <si>
    <t>확정 리포트가 배포 대상에게 자동 발송되고 공유 이력이
기록된다</t>
  </si>
  <si>
    <t>시스템</t>
  </si>
  <si>
    <t>발송 대상 관리와 배포를 매번
수작업으로 처리한다</t>
  </si>
  <si>
    <t>전체 프로세스 목록 — 마케팅  (L1 기능 전체)</t>
  </si>
  <si>
    <t>마케팅 기능의 최하위 프로세스 208건   |   본 과제(#4) 매핑 범위 10건  →  L6 초안 있음 5건 · 없음 5건
참조용 시트입니다. 입력은 [02.L6 세분화] 에만 합니다.   [L2] · [L3] 열 자동필터로 담당 범위만 좁혀 보세요.
⚠ 「과제 범위 · L6 미작성」 행은 본 과제가 다뤄야 하는데 아직 L6 로 쪼개지 않은 프로세스입니다.</t>
  </si>
  <si>
    <t>프로세스 ID</t>
  </si>
  <si>
    <t>L1</t>
  </si>
  <si>
    <t>L2</t>
  </si>
  <si>
    <t>L3</t>
  </si>
  <si>
    <t>L4</t>
  </si>
  <si>
    <t>L5</t>
  </si>
  <si>
    <t>정의</t>
  </si>
  <si>
    <t>본 과제</t>
  </si>
  <si>
    <t>타 AI 과제 연결</t>
  </si>
  <si>
    <t>1.1.1.1.1</t>
  </si>
  <si>
    <t>MI 계획수립</t>
  </si>
  <si>
    <t>정기 조사 주제 검토</t>
  </si>
  <si>
    <t>MI 조사 정보 유형</t>
  </si>
  <si>
    <t>서베이 (자체 서베이 및 외부 업체를 활용한
서베이), 보고서 및 리포트, 데이터, 뉴스,
기사 등 비정형 정보</t>
  </si>
  <si>
    <t>1.1.1.1.2</t>
  </si>
  <si>
    <t>MI 조사 주제의 범위</t>
  </si>
  <si>
    <t>보안사업과 관련 있는 거시 환경 분석,
보안사업 시장에 대한 분석, 동종업계 및
유사업계의 회사 및 경쟁 상황에 대한 분석</t>
  </si>
  <si>
    <t>1.1.1.2.1</t>
  </si>
  <si>
    <t>타부서 요구사항 검토</t>
  </si>
  <si>
    <t>타부서 MI 요구사항 조사 검토</t>
  </si>
  <si>
    <t>요청부서는 'MI 조사요청서'를 작성하여 조사를
요청하면, MI 담당은 조사 요청을 접수하여, 기
보유자료 여부, 기존 MI 조사 계획과 소요
일정, 소요 예산 등을 고려하여 조사 여부
결정, MI 담당은 조사 여부가 결정되면 요청
부서에게 통보하고, 협의된 내역을 기반으로
조사 계획서를 작성</t>
  </si>
  <si>
    <t>1.1.1.3.1</t>
  </si>
  <si>
    <t>조사 일정 및 우선 순위 검토</t>
  </si>
  <si>
    <t>주제별 우선 순위 부여</t>
  </si>
  <si>
    <t>조사 주제에 대한 목록을 작성하고 주제별 우선
순위를 부여함</t>
  </si>
  <si>
    <t>1.1.1.3.2</t>
  </si>
  <si>
    <t>주제별 일정 수립</t>
  </si>
  <si>
    <t>주제별 일정을 수립함</t>
  </si>
  <si>
    <t>1.1.1.4.1</t>
  </si>
  <si>
    <t>조사 주제 최종 선정</t>
  </si>
  <si>
    <t>정기 조사에 대한 주제를 최종 선정함</t>
  </si>
  <si>
    <t>1.1.1.5.1</t>
  </si>
  <si>
    <t>조사 주제별 기보유 MI 정보
확인</t>
  </si>
  <si>
    <t>조사자료 보유 여부 확인</t>
  </si>
  <si>
    <t>유관 자료 보유 가능성이 있는 타 부서를
접촉하여 자료의 존재 여부를 확인함</t>
  </si>
  <si>
    <t>1.1.1.6.1</t>
  </si>
  <si>
    <t>조사 주제별 정보 수집 방법
검토</t>
  </si>
  <si>
    <t>비용, 예산, 예상 기한 검토</t>
  </si>
  <si>
    <t>비용 발생 여부, 필요 예산, 확보 가능 예상
기한을 검토함</t>
  </si>
  <si>
    <t>1.1.1.6.2</t>
  </si>
  <si>
    <t>조사 주제별 정보 수집 방법 검토</t>
  </si>
  <si>
    <t>조사 주제별로 가능한 정보 수집 방법을 검토함</t>
  </si>
  <si>
    <t>1.1.1.7.1</t>
  </si>
  <si>
    <t>조사 주제별 조사 방법론 확정</t>
  </si>
  <si>
    <t>조사 방법론 확정</t>
  </si>
  <si>
    <t>조사 방법론에 대해 확정</t>
  </si>
  <si>
    <t>1.1.1.8.1</t>
  </si>
  <si>
    <t>정기 MI 계획안 작성</t>
  </si>
  <si>
    <t>정기MI 조사계획 수립</t>
  </si>
  <si>
    <t>조사 MI 정보의 사용시점을 감안하여 조사계획
수립</t>
  </si>
  <si>
    <t>1.1.1.9.1</t>
  </si>
  <si>
    <t>비정기 MI 조사 계획안 작성</t>
  </si>
  <si>
    <t>정기 MI조사일정과 중복성 및 가용인력 여부
검토 후 계획 수립</t>
  </si>
  <si>
    <t>1.1.1.10.1</t>
  </si>
  <si>
    <t>MI 계획 확정 및 공유</t>
  </si>
  <si>
    <t>계획안 품의</t>
  </si>
  <si>
    <t>1.1.1.10.2</t>
  </si>
  <si>
    <t>유관 부서 대상 계획안 공유</t>
  </si>
  <si>
    <t>유관 부서 대상 계획안을 공유</t>
  </si>
  <si>
    <t>1.1.1.10.3</t>
  </si>
  <si>
    <t>정기 및 비정기(타부서 요청)
계획안 조율</t>
  </si>
  <si>
    <t>정기 및 비정기(타부서 요청) 계획안에 대해
유관 부서와 사전 조율</t>
  </si>
  <si>
    <t>1.1.2.1.1</t>
  </si>
  <si>
    <t>조사 업체 후보 파악</t>
  </si>
  <si>
    <t>기존 조사업체 검토</t>
  </si>
  <si>
    <t>기존에 관계가 있었던 조사 업체의 이력을
검토함</t>
  </si>
  <si>
    <t>1.1.2.1.2</t>
  </si>
  <si>
    <t>기존 업체 이외 업체 리서치 수행</t>
  </si>
  <si>
    <t>기존 업체 이외에 활용 가능한 업체에 대한
리서치를 수행하여 후보를 선정</t>
  </si>
  <si>
    <t>1.1.2.2.1</t>
  </si>
  <si>
    <t>조사 업체 선정</t>
  </si>
  <si>
    <t>후보 업체들에게 RFP 발송</t>
  </si>
  <si>
    <t>조사가 필요한 내역을 요약하여 후보
업체들에게 RFP(Request for Proposal)를 발송</t>
  </si>
  <si>
    <t>1.1.2.2.2</t>
  </si>
  <si>
    <t>선정된 업체에 대해 마케팅 담당임원의 결제를
통해 확정함</t>
  </si>
  <si>
    <t>1.1.2.2.3</t>
  </si>
  <si>
    <t>제안 발표회 실시</t>
  </si>
  <si>
    <t>1.1.2.3.1</t>
  </si>
  <si>
    <t>조사 수행</t>
  </si>
  <si>
    <t>조사를 수행하고 산출물을 보완함</t>
  </si>
  <si>
    <t>1.1.2.4.1</t>
  </si>
  <si>
    <t>산출물 공유 및 등록</t>
  </si>
  <si>
    <t>MI 시스템에 산출물 등록</t>
  </si>
  <si>
    <t>MI 시스템에 산출물을 등록</t>
  </si>
  <si>
    <t>기 보유한 MI정보리스트에서 수집하려는
조사대상자료가 있는지 우선 검색</t>
  </si>
  <si>
    <t>● 과제 범위 · L6 초안 있음</t>
  </si>
  <si>
    <t>1.1.2.6.1</t>
  </si>
  <si>
    <t>구매 대상 조사 보고서 후보
선정</t>
  </si>
  <si>
    <t>구매 대상 조사 보고서 후보 선정</t>
  </si>
  <si>
    <t>구매 대상 보고서 후보를 선정하고 구매 후보
보고서 요약 내용을 조사함</t>
  </si>
  <si>
    <t>1.1.2.7.1</t>
  </si>
  <si>
    <t>조사 보고서 구매</t>
  </si>
  <si>
    <t>구매 품의서 작성</t>
  </si>
  <si>
    <t>구매 품의서를 작성</t>
  </si>
  <si>
    <t>1.1.2.7.2</t>
  </si>
  <si>
    <t>구매리스트 정리</t>
  </si>
  <si>
    <t>구매할 조사보고서 리스트를 정리</t>
  </si>
  <si>
    <t>1.1.2.7.3</t>
  </si>
  <si>
    <t>조사보고서 구매</t>
  </si>
  <si>
    <t>MI 시스템에 조사 보고서를 등록</t>
  </si>
  <si>
    <t>⚠ 과제 범위 · L6 미작성</t>
  </si>
  <si>
    <t>1.1.2.9.1</t>
  </si>
  <si>
    <t>필요 자료/데이터 확인</t>
  </si>
  <si>
    <t>MI Portal내 자료/데이터의
관리여부 확인</t>
  </si>
  <si>
    <t>MI Portal에 필요한 자료 또는 데이터의 관리
여부를 확인</t>
  </si>
  <si>
    <t>자료의 공유 가능 범위를 확인하고 자료를 요청</t>
  </si>
  <si>
    <t>1.1.2.11.1</t>
  </si>
  <si>
    <t>자료/데이터 등록</t>
  </si>
  <si>
    <t>관리자 자료/데이터 등록</t>
  </si>
  <si>
    <t>유관 부서 자료 보유자 권한 등록에 따른
자료/데이터 등록</t>
  </si>
  <si>
    <t>1.1.3.1.1</t>
  </si>
  <si>
    <t>정치(법/규제)환경분석</t>
  </si>
  <si>
    <t>1.1.3.2.1</t>
  </si>
  <si>
    <t>경제 환경 분석</t>
  </si>
  <si>
    <t>1.1.3.3.1</t>
  </si>
  <si>
    <t>사회 환경 분석</t>
  </si>
  <si>
    <t>정치, 경제, 사회, 환경분석에 대한 시사점
도출</t>
  </si>
  <si>
    <t>1.1.3.6.1</t>
  </si>
  <si>
    <t>시장 규모/성장율 분석</t>
  </si>
  <si>
    <t>1.1.3.7.1</t>
  </si>
  <si>
    <t>MS 및 점유율 분석</t>
  </si>
  <si>
    <t>1.1.3.8.1</t>
  </si>
  <si>
    <t>세부 시장별 규모/성장율 분석</t>
  </si>
  <si>
    <t>1.1.3.9.1</t>
  </si>
  <si>
    <t>시장/산업 구조 분석(5 force)</t>
  </si>
  <si>
    <t>1.1.3.10.1</t>
  </si>
  <si>
    <t>당사에 미치는 영향력 분석</t>
  </si>
  <si>
    <t>시장분석의 영향력 분석</t>
  </si>
  <si>
    <t>시장, MS 등 분석을 통한 당사에 미치는 영향력
분석</t>
  </si>
  <si>
    <t>1.1.3.15.1</t>
  </si>
  <si>
    <t>경쟁사분석의 영향력 분석</t>
  </si>
  <si>
    <t>경쟁사의 상품, 영업활동, 마케팅전략 등이
당사에 미치는 영향력 분석</t>
  </si>
  <si>
    <t>1.1.3.11.1</t>
  </si>
  <si>
    <t>경쟁사 매출/수익분석</t>
  </si>
  <si>
    <t>1.1.3.13.1</t>
  </si>
  <si>
    <t>경쟁사 영업 활동 비교 분석</t>
  </si>
  <si>
    <t>1.1.3.14.1</t>
  </si>
  <si>
    <t>경쟁사 마케팅활동 비교 분석</t>
  </si>
  <si>
    <t>1.1.3.16.1</t>
  </si>
  <si>
    <t>가치 고객 세분화 분석</t>
  </si>
  <si>
    <t>1.1.3.17.1</t>
  </si>
  <si>
    <t>니즈 고객 세분화 분석</t>
  </si>
  <si>
    <t>1.1.3.18.1</t>
  </si>
  <si>
    <t>고객 행태/만족도 분석(Csi,VOC
등)</t>
  </si>
  <si>
    <t>고객 행태/만족도 분석(Csi,VOC 등)</t>
  </si>
  <si>
    <t>고객관련 데이터 분석을 통해 주요 시사점 도출</t>
  </si>
  <si>
    <t>알람 및 SI시장과 관련된 기사를 주요 일간지
및 유관 기관 사이트 등에서 스크랩</t>
  </si>
  <si>
    <t>시장환경, 경쟁사, 고객에 대한 종합적인 분석
보고서</t>
  </si>
  <si>
    <t>월별 주요 시장/경쟁사/고객 동향 정보 및
시장환경분석서의 내용 중 주요 변동사항에
대해 요약하고 공유함</t>
  </si>
  <si>
    <t>1.1.3.21.1</t>
  </si>
  <si>
    <t>조사 보고서 내용 협의</t>
  </si>
  <si>
    <t>조사보고서 내용협의</t>
  </si>
  <si>
    <t>작성한 조사보고서(案)의 내용을 MI정보 조사
또는 분석을 담당했던 유관부서 자료
제공자에게 전달하고 MI실행(Insight Manager)
담당의 피드백을 반영하여 조사보고서를 수정</t>
  </si>
  <si>
    <t>1.1.3.22.1</t>
  </si>
  <si>
    <t>조사 보고서 확정 및 배포</t>
  </si>
  <si>
    <t>조사보고서 MI 시스템 등록</t>
  </si>
  <si>
    <t>조사보고서를 최종 확정 및 조사보고서를 각
공유/활용 부서별 담당자에게 메일로 전송함</t>
  </si>
  <si>
    <t>1.2.1.1.1</t>
  </si>
  <si>
    <t>마케팅 전략수립</t>
  </si>
  <si>
    <t>연간마케팅전략수립</t>
  </si>
  <si>
    <t>환경/시장/경쟁/고객 분석</t>
  </si>
  <si>
    <t>시장환경분석서의 환경/시장/경쟁사/고객 별
주요한 내용을 확인함 (SWOT분석, 기회시장
분석 등)</t>
  </si>
  <si>
    <t>1.2.1.2.1</t>
  </si>
  <si>
    <t>STP 전략 수립</t>
  </si>
  <si>
    <t>1.2.1.3.1</t>
  </si>
  <si>
    <t>4P 전략 수립</t>
  </si>
  <si>
    <t>1.2.1.4.1</t>
  </si>
  <si>
    <t>마케팅 실행과제 정의</t>
  </si>
  <si>
    <t>1.2.1.5.1</t>
  </si>
  <si>
    <t>마케팅 실행과제 상세화</t>
  </si>
  <si>
    <t>연간 마케팅전략을 추진하기 위해 필요한
과제(실행과제)를 구체화함</t>
  </si>
  <si>
    <t>1.2.1.6.1</t>
  </si>
  <si>
    <t>과제별 예산 상세화</t>
  </si>
  <si>
    <t>실행과제별 예산 상세화</t>
  </si>
  <si>
    <t>연간 마케팅 예산을 확인하여 실행과제 별 예상
투자비용을 산정</t>
  </si>
  <si>
    <t>1.2.2.1.1</t>
  </si>
  <si>
    <t>신상품마케팅전략수립</t>
  </si>
  <si>
    <t>신상품 연관
환경/시장/경쟁/고객분석</t>
  </si>
  <si>
    <t>신상품 기획서 작성 이전 전략 수립이 필요한
상품을 선정 해당 상품에 대한 시장환경분석</t>
  </si>
  <si>
    <t>1.2.2.2.1</t>
  </si>
  <si>
    <t>1.2.2.3.1</t>
  </si>
  <si>
    <t>1.2.2.4.1</t>
  </si>
  <si>
    <t>신상품 마케팅전략을 추진하기 위한 마케팅
실행과제 정의</t>
  </si>
  <si>
    <t>1.2.2.5.1</t>
  </si>
  <si>
    <t>신상품 마케팅 전략을 추진하기 위해 필요한
실행과제(상품화과제, IMC과제)를 구체화함</t>
  </si>
  <si>
    <t>1.2.2.6.1</t>
  </si>
  <si>
    <t>연간 마케팅예산을 확인하여 실행과제 별 예상
투자비용을 산정</t>
  </si>
  <si>
    <t>1.2.3.1.1</t>
  </si>
  <si>
    <t>고객유지전략수립</t>
  </si>
  <si>
    <t>고객 Segmentation실시</t>
  </si>
  <si>
    <t>C</t>
  </si>
  <si>
    <t>고객 니즈별 또는 캠페인 실행 목적별로 사용할
수 있도록 니즈 기반 고객군 세분화 Pool을
제공함 (Ex: 개인/SOHO/법인, 업종분류 등)</t>
  </si>
  <si>
    <t>1.2.3.1.2</t>
  </si>
  <si>
    <t>가치고객 세분화(현재/미래가치
반영)</t>
  </si>
  <si>
    <t>현재 가치는 고객이 가진 전체계약의 월
용역료와 유지기간으로 산출, 미래가치는 월
용역료와 예상 유지기간을 기준으로 산출, 고객
등급은 현재가치와 미래가치를 결합하여
6등급(A~F)으로 구분함</t>
  </si>
  <si>
    <t>1.2.3.2.1</t>
  </si>
  <si>
    <t>고객관리 방향성 도출</t>
  </si>
  <si>
    <t>고객관리방향성 도출</t>
  </si>
  <si>
    <t>고객 가치기반, 니즈기반 세분화 결과를
검토함. 고객 관리 프로그램 설계에 반영되는
고객 관리 전략 방향성을 도출함</t>
  </si>
  <si>
    <t>1.2.3.3.1</t>
  </si>
  <si>
    <t>고객관리 프로그램 갱신/추가</t>
  </si>
  <si>
    <t>고객 세분화 분석 내역 및 프로그램 실행 실적
등을 확인하고 기존 고객 관리 프로그램을 변경
및 추가함</t>
  </si>
  <si>
    <t>1.2.4.1.1</t>
  </si>
  <si>
    <t>마케팅예산수립</t>
  </si>
  <si>
    <t>전년도 마케팅 예산 및 비용
사용 내역 검토</t>
  </si>
  <si>
    <t>전년도 예산대비 사용 차이내역
분석</t>
  </si>
  <si>
    <t>전년도 마케팅 예산과 실 사용된 마케팅 비용
내역을 비교하고, Gap 발생에 대한 원인을
분석함</t>
  </si>
  <si>
    <t>1.2.4.1.2</t>
  </si>
  <si>
    <t>전년도 마케팅예산사용내역확인</t>
  </si>
  <si>
    <t>전년도 실 사용된 마케팅 비용 내역을 확인함</t>
  </si>
  <si>
    <t>1.2.4.2.1</t>
  </si>
  <si>
    <t>연간 마케팅 전략안 검토</t>
  </si>
  <si>
    <t>연간 마케팅 전략안 및 실행과제별
예산검토</t>
  </si>
  <si>
    <t>연간 마케팅 전략안 내용 및 마케팅 실행과제별
필요 예산을 고려하여, 연간 마케팅 예산
규모를 산정함</t>
  </si>
  <si>
    <t>1.2.4.3.1</t>
  </si>
  <si>
    <t>마케팅 운영 예산 수립</t>
  </si>
  <si>
    <t>정기적 마케팅 업무별 예산 합산</t>
  </si>
  <si>
    <t>정기적 마케팅 업무 별 필요 예산을 합산</t>
  </si>
  <si>
    <t>1.2.4.3.2</t>
  </si>
  <si>
    <t>실행과제별 필요 예산 합산</t>
  </si>
  <si>
    <t>마케팅 실행과제별 필요예산 합산</t>
  </si>
  <si>
    <t>1.2.4.4.1</t>
  </si>
  <si>
    <t>예산 조정</t>
  </si>
  <si>
    <t>마케팅운영예산협의</t>
  </si>
  <si>
    <t>유관부서에 마케팅 운영 예산안의 내용을
공유함. 유관부서와 항목별 마케팅 운영 예산을
협의함</t>
  </si>
  <si>
    <t>1.2.4.5.1</t>
  </si>
  <si>
    <t>예산 품의 및 확정</t>
  </si>
  <si>
    <t>마케팅예산 품의 및 확정</t>
  </si>
  <si>
    <t>유관부서와의 협의를 통해 조정된 연간 마케팅
운영 예산안을 보고함</t>
  </si>
  <si>
    <t>1.3.1.1.1</t>
  </si>
  <si>
    <t>상품기획</t>
  </si>
  <si>
    <t>상품/솔루션로드맵수립</t>
  </si>
  <si>
    <t>시장환경분석 요청 및 검토</t>
  </si>
  <si>
    <t>시장환경분석서 검토</t>
  </si>
  <si>
    <t>작성된 시장환경분석서를 검토하여 주요 이슈
사항 및 반영사항 도출함</t>
  </si>
  <si>
    <t>1.3.1.1.2</t>
  </si>
  <si>
    <t>시장환경분석서 요청</t>
  </si>
  <si>
    <t>시장환경분석서 작성을 주관하는 부서에 당해
년도에 작성된 시장환경분석서를 요청함. 자료
요청기한은 상품/솔루션 로드맵 작성을 위해
1분기 내로 함</t>
  </si>
  <si>
    <t>1.3.1.2.1</t>
  </si>
  <si>
    <t>기술 로드맵 요청 및 검토</t>
  </si>
  <si>
    <t>기술 로드맵 요청</t>
  </si>
  <si>
    <t>기술 로드맵 작성을 주관하는 부서에 당해
년도에 작성된 기술 로드맵에 대한 자료를
요청함. 자료 요청기한은 상품/솔루션 로드맵
작성을 위해 1분기 내로 함</t>
  </si>
  <si>
    <t>1.3.1.2.2</t>
  </si>
  <si>
    <t>기술 로드맵 검토</t>
  </si>
  <si>
    <t>작성된 기술 로드맵을 검토하여 주요 이슈사항
및 반영사항을 도출함</t>
  </si>
  <si>
    <t>1.3.1.3.1</t>
  </si>
  <si>
    <t>전년도 상품/솔루션 로드맵
검토</t>
  </si>
  <si>
    <t>전년도 상품/솔루션 로드맵 검토</t>
  </si>
  <si>
    <t>전년도 작성된 상품/솔루션 로드맵과 실제
상품화 과제 선정항목을 비교 검토하여
반영정도를 파악하고, 상품/솔루션 로드맵 작성
시 적용할 주요 이슈사항을 도출함</t>
  </si>
  <si>
    <t>1.3.1.4.1</t>
  </si>
  <si>
    <t>상품/솔루션 로드맵 작성</t>
  </si>
  <si>
    <t>상품/솔루션 로드맵 시스템 등록</t>
  </si>
  <si>
    <t>결재가 완료된 상품/솔루션 로드맵은 관련
부서장에게 배포하고 IT시스템에 등록</t>
  </si>
  <si>
    <t>1.3.1.4.2</t>
  </si>
  <si>
    <t>당해 년도 작성된 기술 로드맵 및
시장환경분석서와 전년도 상품/솔루션 로드맵
검토 자료를 기반으로 상품/솔루션 로드맵을
작성. 작성된 상품/솔루션 로드맵은
관련부서(연구소 등) 합의를 포함하여 결재를
진행</t>
  </si>
  <si>
    <t>1.3.1.5.1</t>
  </si>
  <si>
    <t>상품/솔루션 로드맵 개정</t>
  </si>
  <si>
    <t>갱신상품/솔루션 로드맵 시스템
등록</t>
  </si>
  <si>
    <t>결재가 완료된 상품/솔루션 로드맵 갱신본은
관련 부서장에게 배포하고 IT시스템에 등록함</t>
  </si>
  <si>
    <t>1.3.1.5.2</t>
  </si>
  <si>
    <t>상품/솔루션 로드맵 갱신</t>
  </si>
  <si>
    <t>당해 년도 상반기에 작성된 상품/솔루션
로드맵과 관련하여 신기술 및 시장상황에
급격한 변동이 발생하거나 신규 사업군이
추가된 경우 하반기에 이를 갱신할 수 있음.
갱신된 상품/솔루션 로드맵은 관련부서(연구소
등) 합의를 포함하여 결재를 진행함</t>
  </si>
  <si>
    <t>1.3.2.1.1</t>
  </si>
  <si>
    <t>차년도상품화과제계획수립</t>
  </si>
  <si>
    <t>아이디어 공모안 공지</t>
  </si>
  <si>
    <t>아이디어 공모안 작성</t>
  </si>
  <si>
    <t>1.3.2.1.2</t>
  </si>
  <si>
    <t>1.3.2.2.1</t>
  </si>
  <si>
    <t>아이디어 취합</t>
  </si>
  <si>
    <t>취합 아이디어 상품별 정리</t>
  </si>
  <si>
    <t>응모 아이디어를 취합하고 상품 부문별로 분류
및 정리함</t>
  </si>
  <si>
    <t>1.3.2.3.1</t>
  </si>
  <si>
    <t>아이디어 공모안 검토</t>
  </si>
  <si>
    <t>취합 아이디어 검토</t>
  </si>
  <si>
    <t>취합 정리된 아이디어 공모안을 고객니즈,
상품성, 시장경쟁력 등의 관점에서 검토함</t>
  </si>
  <si>
    <t>1.3.2.4.1</t>
  </si>
  <si>
    <t>상심위과제후보확정</t>
  </si>
  <si>
    <t>상심위 후보과제확정</t>
  </si>
  <si>
    <t>공모안 검토결과를 근거로 차년도
상품심의위원회 후보과제로 확정함</t>
  </si>
  <si>
    <t>1.3.2.5.1</t>
  </si>
  <si>
    <t>상심위자료 작성</t>
  </si>
  <si>
    <t>후보과제별 상심위자료 작성</t>
  </si>
  <si>
    <t>상품심의위원회 후보 과제를 "상품기획안" 에
맞춰 과제별로 작성함</t>
  </si>
  <si>
    <t>1.3.2.6.1</t>
  </si>
  <si>
    <t>상심위 준비 및 시행</t>
  </si>
  <si>
    <t>상심위 진행</t>
  </si>
  <si>
    <t>1.3.2.6.2</t>
  </si>
  <si>
    <t>상심위 자료준비</t>
  </si>
  <si>
    <t>상심위 후보과제별 작성된 자료준비</t>
  </si>
  <si>
    <t>1.3.2.6.3</t>
  </si>
  <si>
    <t>상심위 일정 공지</t>
  </si>
  <si>
    <t>상심위 실시 2주 전 상심위 실시 일정 통보</t>
  </si>
  <si>
    <t>1.3.2.7.1</t>
  </si>
  <si>
    <t>과제별 평가</t>
  </si>
  <si>
    <t>상심위 후보과제별 평가</t>
  </si>
  <si>
    <t>상품화과제 평가 기준을 참고하여 과제 평가표
작성</t>
  </si>
  <si>
    <t>1.3.2.8.1</t>
  </si>
  <si>
    <t>상품화여부 확정</t>
  </si>
  <si>
    <t>상심위결과 상품화과제 확정</t>
  </si>
  <si>
    <t>상심위 과제별 평가 결과에 의거 차년도 상품화
과제 확정</t>
  </si>
  <si>
    <t>1.3.2.9.1</t>
  </si>
  <si>
    <t>상심위 의견 검토 및 보완사항
수정</t>
  </si>
  <si>
    <t>상심위후 보완사항 수정</t>
  </si>
  <si>
    <t>차년도 상품화과제(안)에 상심위시 제시된
의견에 대해 내용을 보완/수정함</t>
  </si>
  <si>
    <t>1.3.2.10.1</t>
  </si>
  <si>
    <t>상품화 과제 확정</t>
  </si>
  <si>
    <t>차년도 상품화 과제 확정</t>
  </si>
  <si>
    <t>차년도 상품화과제(안)을 사장 결재를 통해
상품화 과제로 확정</t>
  </si>
  <si>
    <t>1.3.3.1.1</t>
  </si>
  <si>
    <t>건별 상품/솔루션 기획</t>
  </si>
  <si>
    <t>상품포지셔닝제안서 작성</t>
  </si>
  <si>
    <t>개발 1등급 과제의 개발위험을 최소화하기 위해
선행개발단계를 진행하며 이에 필요한 예산
확보를 위해 상품포지셔닝 제안서를 작성함</t>
  </si>
  <si>
    <t>1.3.3.2.1</t>
  </si>
  <si>
    <t>선행개발 요청</t>
  </si>
  <si>
    <t>상품포지셔닝 제안서 결재본을 기준으로
상품개발, 기구설계, 디자인 등 관련부문을
대상으로 선행개발을 요청함</t>
  </si>
  <si>
    <t>1.3.3.3.1</t>
  </si>
  <si>
    <t>선행개발 결과확인</t>
  </si>
  <si>
    <t>개발1등급 과제의 회로, 기구, 디자인부문의
선행개발 내역을 확인</t>
  </si>
  <si>
    <t>1.3.3.4.1</t>
  </si>
  <si>
    <t>시장 조사 및 관련 정보 수집</t>
  </si>
  <si>
    <t>마케팅의 시장조사보고서를 참고하여 시장환경
정보를 수집</t>
  </si>
  <si>
    <t>1.3.3.5.1</t>
  </si>
  <si>
    <t>상품개요 정의(기획배경, 컨셉,
세일즈포인트)</t>
  </si>
  <si>
    <t>기획배경, 경쟁력 있는 상품을 위한 상품컨셉과
세일즈포인트를 발굴함</t>
  </si>
  <si>
    <t>1.3.3.6.1</t>
  </si>
  <si>
    <t>수요 및 매출 목표 설정</t>
  </si>
  <si>
    <t>기존 유사상품 판매실적 및 대상시장 파악을
통한 매출목표를 산출함</t>
  </si>
  <si>
    <t>1.3.3.7.1</t>
  </si>
  <si>
    <t>상품 사양 정의</t>
  </si>
  <si>
    <t>경쟁력 있는 제공서비스 발굴 및 구현 가능한
기능/성능 도출함</t>
  </si>
  <si>
    <t>1.3.3.8.1</t>
  </si>
  <si>
    <t>손익분석</t>
  </si>
  <si>
    <t>상품의 출시 후 판매목표를 기준으로 손익에
대한 분석을 실시함</t>
  </si>
  <si>
    <t>1.3.3.9.1</t>
  </si>
  <si>
    <t>단종계획수립</t>
  </si>
  <si>
    <t>신상품 대체상품 파악</t>
  </si>
  <si>
    <t>신상품 출시로 인해 대체될 수 있는 상품을
파악함</t>
  </si>
  <si>
    <t>1.3.3.9.2</t>
  </si>
  <si>
    <t>대체상품 단종계획수립</t>
  </si>
  <si>
    <t>신상품 출시로 인해 대체되는 상품의 단종
계획을 수립함</t>
  </si>
  <si>
    <t>1.3.3.10.1</t>
  </si>
  <si>
    <t>담당 임원 결재</t>
  </si>
  <si>
    <t>상품기획담당자가 작성한 과제별 상품/솔루션
기획서에 대한 관련부문 임원 합의 후, 득결함</t>
  </si>
  <si>
    <t>1.3.3.11.1</t>
  </si>
  <si>
    <t>관련 부서 배포</t>
  </si>
  <si>
    <t>득결한 과제별 상품/솔루션기획서 사본을
연구개발, 경영지원 등 유관부서에 배포함</t>
  </si>
  <si>
    <t>1.3.3.12.1</t>
  </si>
  <si>
    <t>타부서 요구사항 접수</t>
  </si>
  <si>
    <t>상품화 요청의뢰서 검토</t>
  </si>
  <si>
    <t>타 부서의 비정기적인 상품화 요청내용 접수</t>
  </si>
  <si>
    <t>1.3.3.13.1</t>
  </si>
  <si>
    <t>상품화 여부 결정</t>
  </si>
  <si>
    <t>타부서 요구사항 상품화 여부 결정</t>
  </si>
  <si>
    <t>상품 심의 위원회 상품화 과제 평가 기준을
적용하여 검토 후 상품화여부 결정</t>
  </si>
  <si>
    <t>1.3.4.1.1</t>
  </si>
  <si>
    <t>상품/솔루션 단종 관리</t>
  </si>
  <si>
    <t>단종일정결정</t>
  </si>
  <si>
    <t>대체상품 단종발의</t>
  </si>
  <si>
    <t>신상품 출시로 인한 대체 예정 상품에 대하여
단종을 발의하고 수요 관리 협의회 안건으로
상정함</t>
  </si>
  <si>
    <t>신상품 및 업그레이드 상품별 단종
시기 결정</t>
  </si>
  <si>
    <t>신상품 : 신상품 출시와 동시에 대체 상품
단종. Upgrade 상품 : 상품 출시 후 일정 기간
경과 후 기존 상품을 단종하며, 단종 시기는
영업, 마케팅과 협의하여 결정</t>
  </si>
  <si>
    <t>1.3.4.1.2</t>
  </si>
  <si>
    <t>알람 및 매각상품별 유지보수 기간
결정</t>
  </si>
  <si>
    <t>매각상품, 알람상품에 대해 유지보수기간을
결정함</t>
  </si>
  <si>
    <t>1.3.4.2.1</t>
  </si>
  <si>
    <t>재고소진 계획수립요청</t>
  </si>
  <si>
    <t>부서별 재고소진 계획수립요청</t>
  </si>
  <si>
    <t>단종 시기, 유지 보수 기간 확정 후 부서별
재고 소진 계획 수립을 요청함</t>
  </si>
  <si>
    <t>1.3.4.3.1</t>
  </si>
  <si>
    <t>단종협의체 보고</t>
  </si>
  <si>
    <t>단종계획보고</t>
  </si>
  <si>
    <t>수요 관리 협의회에 상정된 단종 안건에 대한
단종계획을 보고하고 의사결정을 받음</t>
  </si>
  <si>
    <t>1.3.4.4.1</t>
  </si>
  <si>
    <t>단종통보</t>
  </si>
  <si>
    <t>단종 협의체(수요 관리 협의회) 결과를
관련부서에 통보하고 재고 소진계획
수정/실행을 요청함</t>
  </si>
  <si>
    <t>1.4.1.1.1</t>
  </si>
  <si>
    <t>상품출시준비및출시후모니터링</t>
  </si>
  <si>
    <t>상품출시 준비</t>
  </si>
  <si>
    <t>상품명 공모</t>
  </si>
  <si>
    <t>상품명을 사내 공모함</t>
  </si>
  <si>
    <t>1.4.1.2.1</t>
  </si>
  <si>
    <t>상품명 검토</t>
  </si>
  <si>
    <t>브랜드 운영체계에 맞는지 검토 확인함</t>
  </si>
  <si>
    <t>1.4.1.3.1</t>
  </si>
  <si>
    <t>상품명 선정 품의 및 확정</t>
  </si>
  <si>
    <t>최종 상품명 후보군에 대하여 품의하고 득결후
최종 상품명으로 확정함</t>
  </si>
  <si>
    <t>1.4.1.4.1</t>
  </si>
  <si>
    <t>출시준비 일정표 작성</t>
  </si>
  <si>
    <t>출시 준비 업무별 평균 소요 기간을 입수하여
표준 일정표를 작성, 관리함</t>
  </si>
  <si>
    <t>1.4.1.5.1</t>
  </si>
  <si>
    <t>출시 일정 공표</t>
  </si>
  <si>
    <t>관련부서별 출시준비에 차질이 없도록
해당부서에 출시일정을 공표함</t>
  </si>
  <si>
    <t>1.4.1.6.1</t>
  </si>
  <si>
    <t>판매가격결정</t>
  </si>
  <si>
    <t>원가검토 및 가격결정</t>
  </si>
  <si>
    <t>출시 상품에 대한 기준 가격 (List Price)을
결정</t>
  </si>
  <si>
    <t>1.4.1.7.1</t>
  </si>
  <si>
    <t>초도판매물량결정</t>
  </si>
  <si>
    <t>출시 초기 판매물량결정</t>
  </si>
  <si>
    <t>출시 후 초기 3개월 판매물량을 결정함</t>
  </si>
  <si>
    <t>1.4.1.8.1</t>
  </si>
  <si>
    <t>사용자 설명서 작성</t>
  </si>
  <si>
    <t>시스템 사용 전 유의사항을 명기, 조작에
필요한 사항 명기</t>
  </si>
  <si>
    <t>1.4.1.9.1</t>
  </si>
  <si>
    <t>운영 매뉴얼 작성</t>
  </si>
  <si>
    <t>SP매뉴얼 작성</t>
  </si>
  <si>
    <t>경비계획에 대한 매뉴얼 작성</t>
  </si>
  <si>
    <t>1.4.1.9.2</t>
  </si>
  <si>
    <t>업무매뉴얼 작성</t>
  </si>
  <si>
    <t>상품의 기술적인 부문을 매뉴얼로 작성</t>
  </si>
  <si>
    <t>1.4.1.9.3</t>
  </si>
  <si>
    <t>운영 및 점검프로세스작성</t>
  </si>
  <si>
    <t>서비스 운영 및 이상발생 등 점검방법에 대한
매뉴얼 작성</t>
  </si>
  <si>
    <t>1.4.1.9.4</t>
  </si>
  <si>
    <t>장애조치매뉴얼 작성</t>
  </si>
  <si>
    <t>이상발생 등 장애 발생시 해결방법 매뉴얼 작성</t>
  </si>
  <si>
    <t>1.4.1.10.1</t>
  </si>
  <si>
    <t>영업지침 작성</t>
  </si>
  <si>
    <t>상품판매가 가능하도록 상품의 컨셉, 판매가격,
세일즈포인트, 전산 사용방법 등의 내용을
작성함</t>
  </si>
  <si>
    <t>1.4.1.11.1</t>
  </si>
  <si>
    <t>계약서 작성</t>
  </si>
  <si>
    <t>신상품에서 제공하는 서비스 및 보상범위 등을
기존 계약서에 추가 작성함</t>
  </si>
  <si>
    <t>1.4.1.12.1</t>
  </si>
  <si>
    <t>홍보물 컨셉 확정</t>
  </si>
  <si>
    <t>상품을 고객에게 잘 알릴 수 있도록 특성을
파악하여 홍보물 컨셉을 확정함</t>
  </si>
  <si>
    <t>1.4.1.13.1</t>
  </si>
  <si>
    <t>홍보물 제작</t>
  </si>
  <si>
    <t>홍보문안 및 확정된 디자인을 기초로 고객용
홍보물 제작</t>
  </si>
  <si>
    <t>1.4.1.14.1</t>
  </si>
  <si>
    <t>홍보물 배포</t>
  </si>
  <si>
    <t>제작 완료된 홍보물을 사업장(지사) 단위로
배포함</t>
  </si>
  <si>
    <t>1.4.1.15.1</t>
  </si>
  <si>
    <t>홈페이지 등록 컨텐츠 확정</t>
  </si>
  <si>
    <t>홈페이지를 통해 접속한 고객이 상품에 대해 잘
이해할 수 있도록 컨텐츠를 확정함</t>
  </si>
  <si>
    <t>1.4.1.16.1</t>
  </si>
  <si>
    <t>등록 컨텐츠 제작</t>
  </si>
  <si>
    <t>고객의 눈높이에 맞게 디자인 및 내용에 대한
컨텐츠를 홈페이지에 등록할 수 있도록
컨텐츠를 제작함</t>
  </si>
  <si>
    <t>1.4.1.17.1</t>
  </si>
  <si>
    <t>홈페이지 등록</t>
  </si>
  <si>
    <t>컨텐츠를 홈페이지에 등록함</t>
  </si>
  <si>
    <t>1.4.1.18.1</t>
  </si>
  <si>
    <t>교안작성</t>
  </si>
  <si>
    <t>상품교육용 교안작성</t>
  </si>
  <si>
    <t>출시 예정상품에 대하여 출시 전 교육이
가능하도록 교안을 작성함</t>
  </si>
  <si>
    <t>1.4.1.19.1</t>
  </si>
  <si>
    <t>영업/기술/CS 부문 교육 실시</t>
  </si>
  <si>
    <t>교육일정 수립</t>
  </si>
  <si>
    <t>상품교육실시 2주 전에 각 사업부 서비스
지원팀에 교육 일정에 대한 가능여부 확인 및
교육 장소 지원을 요청함</t>
  </si>
  <si>
    <t>1.4.1.19.2</t>
  </si>
  <si>
    <t>교육 만족도 측정</t>
  </si>
  <si>
    <t>교육 만족도를 측정을 위한 설문
항목/실행/결과를 보고함</t>
  </si>
  <si>
    <t>1.4.1.19.3</t>
  </si>
  <si>
    <t>교육실시</t>
  </si>
  <si>
    <t>사업부별 교육일정에 맞춰 교육할 수 있도록
교보재를 준비하고 교육을 실시함</t>
  </si>
  <si>
    <t>1.4.1.20.1</t>
  </si>
  <si>
    <t>상품 시뮬레이터 제작</t>
  </si>
  <si>
    <t>시뮬레이터용기기 출고</t>
  </si>
  <si>
    <t>시뮬레이터 제작 대상기기를 물류센터로부터
출고함</t>
  </si>
  <si>
    <t>1.4.1.20.2</t>
  </si>
  <si>
    <t>시뮬레이터제작 품의/득결</t>
  </si>
  <si>
    <t>시뮬레이터 제작을 위한 예산품의 작성 및
득결함</t>
  </si>
  <si>
    <t>1.4.1.20.3</t>
  </si>
  <si>
    <t>시뮬레이터 제작</t>
  </si>
  <si>
    <t>제작업체 선정 및 제작함</t>
  </si>
  <si>
    <t>1.4.1.21.1</t>
  </si>
  <si>
    <t>상품 시뮬레이터 배포</t>
  </si>
  <si>
    <t>출시 예정상품의 사전 학습 및 영업시
데모용으로 활용이 가능토록 상품시뮬레이터를
사업장에 배포함</t>
  </si>
  <si>
    <t>1.4.1.22.1</t>
  </si>
  <si>
    <t>생산 일정 확인</t>
  </si>
  <si>
    <t>상품출시 전에 해당상품의 생산현황 및 일정
확인을 통해 영업 준비</t>
  </si>
  <si>
    <t>1.4.1.23.1</t>
  </si>
  <si>
    <t>입고 일정 확인</t>
  </si>
  <si>
    <t>출시 예정상품의 출시 예정일 이전 물류센터 內
입고 가능한지 일정을 확인함</t>
  </si>
  <si>
    <t>1.4.1.24.1</t>
  </si>
  <si>
    <t>전산의뢰</t>
  </si>
  <si>
    <t>견적/캐드 등 전산개발의뢰</t>
  </si>
  <si>
    <t>출시 예정 상품의 판매 및 고객 설치시 필요한
견적, 물류배송 프로그램 개발을
전산개발(처리)부서에 의뢰함</t>
  </si>
  <si>
    <t>1.4.1.25.1</t>
  </si>
  <si>
    <t>견적/출고반영</t>
  </si>
  <si>
    <t>견적/출고전산프로그램 서버반영</t>
  </si>
  <si>
    <t>전산개발 의뢰한 출시 예정 상품의 견적,
물류(출고)배송 등 완료된 프로그램을 실제
운영서버에 반영함</t>
  </si>
  <si>
    <t>1.4.1.26.1</t>
  </si>
  <si>
    <t>출시공지안 작성</t>
  </si>
  <si>
    <t>출시 준비가 완료된 출시 예정 상품에 대하여
판매가 가능하도록 출시 공지안내문을 작성함</t>
  </si>
  <si>
    <t>1.4.1.27.1</t>
  </si>
  <si>
    <t>출시공지</t>
  </si>
  <si>
    <t>작성 완료한 출시 공지안내문을 출시일 최소
1일전에 전사 게시판에 공지함</t>
  </si>
  <si>
    <t>1.4.2.1.1</t>
  </si>
  <si>
    <t>출시 후 모니터링</t>
  </si>
  <si>
    <t>판매 추이 분석</t>
  </si>
  <si>
    <t>출시상품 판매실적분석</t>
  </si>
  <si>
    <t>상품 출시 후 일정기간(예, 3개월)동안
판매실적을 파악하고 이를 분석함</t>
  </si>
  <si>
    <t>1.4.2.2.1</t>
  </si>
  <si>
    <t>영업개선사항도출</t>
  </si>
  <si>
    <t>영업개선사항 도출</t>
  </si>
  <si>
    <t>출시상품에 대하여 판매 실적 추이를 분석하여
영업 상의 이슈를 파악하고 개선 방향 수립</t>
  </si>
  <si>
    <t>1.4.2.3.1</t>
  </si>
  <si>
    <t>영업,기술피드백검토</t>
  </si>
  <si>
    <t>출시상품 현장의견 검토</t>
  </si>
  <si>
    <t>출시 상품에 대해 현장 영업, 기술부문 의견
검토</t>
  </si>
  <si>
    <t>1.4.2.4.1</t>
  </si>
  <si>
    <t>고객반응검토</t>
  </si>
  <si>
    <t>출시상품 고객의견 검토</t>
  </si>
  <si>
    <t>출시상품에 대해 고객 반응 검토</t>
  </si>
  <si>
    <t>1.4.2.5.1</t>
  </si>
  <si>
    <t>개선사항도출</t>
  </si>
  <si>
    <t>개선사항 도출</t>
  </si>
  <si>
    <t>고객 VOC, 현장의견에 대하여 해당 부서에서
작성한 대안을 검토하여 개선 사항 도출</t>
  </si>
  <si>
    <t>1.4.2.6.1</t>
  </si>
  <si>
    <t>개선 사항 종합</t>
  </si>
  <si>
    <t>개선 사항 종합정리</t>
  </si>
  <si>
    <t>상품 출시 후 접수된 상품 개선사항에 대하여
사항별로 구분하여 종합 정리함</t>
  </si>
  <si>
    <t>1.4.2.7.1</t>
  </si>
  <si>
    <t>부서공지</t>
  </si>
  <si>
    <t>개선사항 해당부서 공지</t>
  </si>
  <si>
    <t>출시상품에 대하여 각종 의견을 수렴하여 종합
정리된 개선 사항을 해당 부서에 공유하고 개선
결과를 모니터링함</t>
  </si>
  <si>
    <t>1.5.1.1.1</t>
  </si>
  <si>
    <t>마케팅실행및성과측정</t>
  </si>
  <si>
    <t>광고실행</t>
  </si>
  <si>
    <t>광고 실행 발의 내용 검토</t>
  </si>
  <si>
    <t>광고매체 유형별 실행내용검토</t>
  </si>
  <si>
    <t>TV광고, 라디오광고, 신문광고, 잡지광고,
인터넷광고, 옥외광고, 스폰서광고,
기타매체광고 유형별 실행내용 검토</t>
  </si>
  <si>
    <t>1.5.1.2.1</t>
  </si>
  <si>
    <t>광고 실행 방향성 도출</t>
  </si>
  <si>
    <t>광고매체별 실행방향성 도출</t>
  </si>
  <si>
    <t>마케팅 전략, 마케팅 실행과제, 연간 마케팅
운영 예산을 고려하여 광고 실행 목적, 타겟
고객, 상품(상품 광고일 경우), 매체, 기간,
예상 비용, 예상 효과 등을 정의함</t>
  </si>
  <si>
    <t>1.5.1.3.1</t>
  </si>
  <si>
    <t>광고 대행사 선정</t>
  </si>
  <si>
    <t>경쟁 프리젠테이션 종료 후, 심사/평가를 통해
최적의 광고 대행사를 선정함</t>
  </si>
  <si>
    <t>1.5.1.3.2</t>
  </si>
  <si>
    <t>프리젠테이션 실시</t>
  </si>
  <si>
    <t>광고대행사흫 대상으로 당사 광고 실행
방향성에 맞춰 프리젠테이션을 실시함</t>
  </si>
  <si>
    <t>1.5.1.4.1</t>
  </si>
  <si>
    <t>광고 시장상황/경쟁상황 분석</t>
  </si>
  <si>
    <t>광고대행사와 함께
목표/타겟/콘셉트/기간/집행전략 등을
구체화하기 위해 시장상황/경쟁상황을 조사함</t>
  </si>
  <si>
    <t>1.5.1.5.1</t>
  </si>
  <si>
    <t>광고 실행 계획안 작성</t>
  </si>
  <si>
    <t>광고 실행 계획안 품의 및 득결</t>
  </si>
  <si>
    <t>광고 실행
목적/타겟고객/상품/매체/예상효과/예상비용
등의 내용을 포함한 광고 실행 계획안을 작성
후, 품의를 올리고 결재 받음</t>
  </si>
  <si>
    <t>1.5.1.6.1</t>
  </si>
  <si>
    <t>광고시안(스토리보드) 작성</t>
  </si>
  <si>
    <t>광고 제작에 들어가기에 앞서 계획된 광고
콘셉트에 맞는 몇가지 광고시안 (스토리보드)을
작성함</t>
  </si>
  <si>
    <t>1.5.1.7.1</t>
  </si>
  <si>
    <t>광고시안(스토리보드) 선정</t>
  </si>
  <si>
    <t>광고시안(스토리보드) 중 사내 임직원
모니터링, 고객 대상 시안 테스트 후, 의견을
반영하여 최종 광고시안을 확정함</t>
  </si>
  <si>
    <t>1.5.1.8.1</t>
  </si>
  <si>
    <t>광고 제작물 완성</t>
  </si>
  <si>
    <t>선정된 광고시안(스토리보드)을 바탕으로
광고를 제작함</t>
  </si>
  <si>
    <t>1.5.1.9.1</t>
  </si>
  <si>
    <t>광고 심의</t>
  </si>
  <si>
    <t>매체별(방송, 인쇄 등) 광고 심의</t>
  </si>
  <si>
    <t>방송 매체 광고의 경우는
방송위원회/종합유선방송위원회에서 사전심의를
요청하여 광고 집행 적합성을 판단하고, 인쇄
매체 광고/잡지 등의 정기간행물의 경우는 한국
신문윤리위원회/한국간행물윤리위원회의 사후에
심의를 받음</t>
  </si>
  <si>
    <t>1.5.1.10.1</t>
  </si>
  <si>
    <t>광고案 작성</t>
  </si>
  <si>
    <t>상세 광고案 작성</t>
  </si>
  <si>
    <t>광고 제작물, 상세 운영 방안(광고 일정, 매체
선정 등), 광고 실행 비용 등을 보고함</t>
  </si>
  <si>
    <t>1.5.1.11.1</t>
  </si>
  <si>
    <t>매체별 광고 집행</t>
  </si>
  <si>
    <t>광고 집행 계획에 따라 매체별 광고를 집행함</t>
  </si>
  <si>
    <t>1.5.1.12.1</t>
  </si>
  <si>
    <t>광고 집행 모니터링</t>
  </si>
  <si>
    <t>광고가 집행되는 과정의 이슈 등을 체크하며
지속적으로 모니터링함</t>
  </si>
  <si>
    <t>1.5.1.13.1</t>
  </si>
  <si>
    <t>광고 실행 비용 정산</t>
  </si>
  <si>
    <t>마케팅 활동 실행 비용의 상세 내역을 확인하고
마케팅 활동 계획 시 작성했던 계획안의 예상
비용과의 차이원인을 분석함. 실행한 비용을
최종 정산함</t>
  </si>
  <si>
    <t>1.5.1.14.1</t>
  </si>
  <si>
    <t>정성적 성과 분석</t>
  </si>
  <si>
    <t>광고의 성과를 측정하기 위해 정성적 지표를
적용하여 마케팅 활동의 결과를 분석함</t>
  </si>
  <si>
    <t>1.5.1.15.1</t>
  </si>
  <si>
    <t>정량적 성과 분석</t>
  </si>
  <si>
    <t>광고의 성과를 측정하기 위해 정량적 지표를
적용하여 마케팅 활동의 결과를 분석함</t>
  </si>
  <si>
    <t>1.5.2.1.1</t>
  </si>
  <si>
    <t>유지고객타겟 캠페인 실행</t>
  </si>
  <si>
    <t>캠페인 계획</t>
  </si>
  <si>
    <t>고객 유지를 목적으로 대상 고객, 제공 오퍼,
접근 채널, 채널 반응, 캠페인 기간등을 계획함</t>
  </si>
  <si>
    <t>1.5.2.2.1</t>
  </si>
  <si>
    <t>타겟 캠페인 실행 계획안 작성</t>
  </si>
  <si>
    <t>타겟 캠페인 실행
목적/타겟고객/채널/오퍼/예상효과/예상비용
등의 내용을 포함한 타겟 캠페인 실행 계획안을
작성 후, 품의 및 결재를 진행함</t>
  </si>
  <si>
    <t>1.5.2.3.1</t>
  </si>
  <si>
    <t>고객군 생성</t>
  </si>
  <si>
    <t>캠페인실행대상 고객군 생성</t>
  </si>
  <si>
    <t>CMS 시스템에서 캠페인 실행 대상이 되는
고객군을 생성함</t>
  </si>
  <si>
    <t>1.5.2.4.1</t>
  </si>
  <si>
    <t>캠페인 정보등록</t>
  </si>
  <si>
    <t>실행 캠페인정보 등록</t>
  </si>
  <si>
    <t>생성된 고객군을 대상으로 실행할 캠페인의
정보를 등록함</t>
  </si>
  <si>
    <t>1.5.2.5.1</t>
  </si>
  <si>
    <t>채널 실행</t>
  </si>
  <si>
    <t>채널별 실행</t>
  </si>
  <si>
    <t>CMS에 등록되고 본사 캠페인 담당으로부터
승인된 타겟 캠페인을 이메일, SMS, DM,
영업사원 등의 채널을 통하여 실행함</t>
  </si>
  <si>
    <t>1.5.2.6.1</t>
  </si>
  <si>
    <t>캠페인 실행 모니터링</t>
  </si>
  <si>
    <t>실행중인 캠페인 모니터링</t>
  </si>
  <si>
    <t>캠페인이 실행되는 동안 이슈 등을 체크하며
지속적으로 모니터링함</t>
  </si>
  <si>
    <t>1.5.2.7.1</t>
  </si>
  <si>
    <t>타겟 캠페인 실행 비용 정산</t>
  </si>
  <si>
    <t>타겟캠페인에 발생한 비용 확인 및 예상
비용과의 Gap에 대한 차이를 분석하고, 비용을
최종적으로 정산함</t>
  </si>
  <si>
    <t>1.5.2.8.1</t>
  </si>
  <si>
    <t>타겟캠페인의 성과를 측정하기 위해 정성적
지표를 적용하여 마케팅 활동의 결과를 분석함</t>
  </si>
  <si>
    <t>1.5.2.9.1</t>
  </si>
  <si>
    <t>타겟캠페인의 성과를 측정하기 위해 정량적
지표를 적용하여 마케팅 활동의 결과를 분석함</t>
  </si>
  <si>
    <t>1.5.3.1.1</t>
  </si>
  <si>
    <t>프로모션실행</t>
  </si>
  <si>
    <t>프로모션 실행 발의 내용 검토</t>
  </si>
  <si>
    <t>프로모션 유형별 실행 발의 내용
검토</t>
  </si>
  <si>
    <t>제휴행사, 할인행사, 사은행사, 경품행사,
체험행사, 사내프로모션 등 유형별 프로모션
실행발의 내용검토</t>
  </si>
  <si>
    <t>1.5.3.2.1</t>
  </si>
  <si>
    <t>프로모션 실행 방향성 도출</t>
  </si>
  <si>
    <t>마케팅 실행과제/마케팅 운영 예산 등을
확인하여, 프로모션 실행 방안 및 성과 측정
방안을 정의함</t>
  </si>
  <si>
    <t>1.5.3.3.1</t>
  </si>
  <si>
    <t>프로모션 실행 계획안 작성</t>
  </si>
  <si>
    <t>프로모션 실행 목적/타겟 고객/기간/오퍼 및
물량/예상 비용/예상 효과 등의 내용을 포함한
프로모션 실행 계획안을 작성하여 품의를
진행함</t>
  </si>
  <si>
    <t>1.5.3.4.1</t>
  </si>
  <si>
    <t>제공 오퍼 준비</t>
  </si>
  <si>
    <t>프로모션에 사용될 경품, 사은품 등의 제공
오퍼를 준비함</t>
  </si>
  <si>
    <t>1.5.3.5.1</t>
  </si>
  <si>
    <t>홍보물 준비</t>
  </si>
  <si>
    <t>프로모션 홍보를 위해 필요한 전단지 등의
홍보물을 준비함</t>
  </si>
  <si>
    <t>1.5.3.6.1</t>
  </si>
  <si>
    <t>프로모션 홍보</t>
  </si>
  <si>
    <t>프로모션 타겟 고객을 대상으로 전단지 등
홍보물의 배포 및 홈페이지, 인터넷 등을 통해
프로모션을 홍보하고, 고객의 참여를 유도함</t>
  </si>
  <si>
    <t>1.5.3.7.1</t>
  </si>
  <si>
    <t>프로모션 진행</t>
  </si>
  <si>
    <t>프로모션 기간동안 계획된 오퍼를 조건에 맞는
고객에게 제공함</t>
  </si>
  <si>
    <t>1.5.3.8.1</t>
  </si>
  <si>
    <t>프로모션 진행 모니터링</t>
  </si>
  <si>
    <t>프로모션이 진행되는 동안 이슈 등을 체크하며
지속적으로 모니터링함</t>
  </si>
  <si>
    <t>1.5.3.9.1</t>
  </si>
  <si>
    <t>프로모션 실행 비용 정산</t>
  </si>
  <si>
    <t>프로모션에 발생한 비용 확인 및 예상 비용과의
Gap에 대한 차이를 분석하고, 비용을
최종적으로 정산함</t>
  </si>
  <si>
    <t>1.5.3.10.1</t>
  </si>
  <si>
    <t>프로모션의 성과를 측정하기 위해 정성적
지표를 적용하여 마케팅 활동의 결과를 분석함</t>
  </si>
  <si>
    <t>1.5.3.11.1</t>
  </si>
  <si>
    <t>프로모션의 성과를 측정하기 위해 정량적
지표를 적용하여 마케팅 활동의 결과를 분석함</t>
  </si>
  <si>
    <t>1.5.4.1.1</t>
  </si>
  <si>
    <t>이벤트실행</t>
  </si>
  <si>
    <t>이벤트 실행 발의 내용 검토</t>
  </si>
  <si>
    <t>이벤트 실행이 요청되었을 때, 이벤트 실행
목적/ 고객리스트/예상비용 등의 내용을
확인하고 이벤트 실행여부를 결정함</t>
  </si>
  <si>
    <t>1.5.4.2.1</t>
  </si>
  <si>
    <t>이벤트 실행 방향성 도출</t>
  </si>
  <si>
    <t>마케팅 실행과제/마케팅 운영 예산을 확인하여,
이벤트 실행 방안 및 성과 측정 방안을 정의함</t>
  </si>
  <si>
    <t>1.5.4.3.1</t>
  </si>
  <si>
    <t>이벤트 실행 계획안 작성</t>
  </si>
  <si>
    <t>이벤트 실행 목적/타겟
고객(고객리스트)/장소/기간/일정/예상
비용/예상 효과 등의 내용을 포함한 이벤트
실행 계획안을 작성한 후, 품의를 진행함</t>
  </si>
  <si>
    <t>1.5.4.4.1</t>
  </si>
  <si>
    <t>이벤트 장소 및 진행 담당자
섭외</t>
  </si>
  <si>
    <t>이벤트 장소 및 진행 담당자 섭외</t>
  </si>
  <si>
    <t>이벤트 실행 계획안에 적혀 있는 장소를
예약하고 필요시 진행담당자를 섭외함</t>
  </si>
  <si>
    <t>1.5.4.5.1</t>
  </si>
  <si>
    <t>제반자료 준비</t>
  </si>
  <si>
    <t>이벤트 필요자료 준비</t>
  </si>
  <si>
    <t>이벤트 실행을 위해 필요한 교육자료,
홍보자료, 경품 등의 제반자료를 준비함</t>
  </si>
  <si>
    <t>1.5.4.6.1</t>
  </si>
  <si>
    <t>이벤트의 성과를 측정하기 위해 정량적 지표를
적용하여 마케팅 활동의 결과를 분석함</t>
  </si>
  <si>
    <t>1.5.4.7.1</t>
  </si>
  <si>
    <t>이벤트 공지</t>
  </si>
  <si>
    <t>메일 발송 등의 방법으로 사내 임직원,
고객에게 이벤트를 공지하고 참여를 유도함</t>
  </si>
  <si>
    <t>1.5.4.8.1</t>
  </si>
  <si>
    <t>이벤트 실시</t>
  </si>
  <si>
    <t>참석자를 확인하고, 교육자료/홍보자료 등을
배포하여 이벤트를 실행함</t>
  </si>
  <si>
    <t>1.5.4.9.1</t>
  </si>
  <si>
    <t>이벤트 진행 모니터링</t>
  </si>
  <si>
    <t>이벤트 실시 기간동안 이슈 등을 체크하며
지속적으로 모니터링함</t>
  </si>
  <si>
    <t>1.5.4.10.1</t>
  </si>
  <si>
    <t>이벤트 실행 비용 정산</t>
  </si>
  <si>
    <t>이벤트)에 발생한 비용 확인 및 예상 비용과의
Gap에 대한 차이를 분석하고, 비용을
최종적으로 정산함</t>
  </si>
  <si>
    <t>1.5.4.11.1</t>
  </si>
  <si>
    <t>이벤트의 성과를 측정하기 위해 정성적 지표를
적용하여 마케팅 활동의 결과를 분석함</t>
  </si>
  <si>
    <t>입력 코드표 — 드롭다운 원본. 값을 고치면 [02.L6 세분화] 드롭다운에도 반영됩니다. 행 · 열 순서 변경과 삭제는 하지 않습니다.</t>
  </si>
  <si>
    <t>※ 노란 머리글 열은 목록 외 값을 입력할 수 없습니다 (오타 1건이 공수 환산·집계를 조용히 망치기 때문입니다).
※ 목록에 없는 시스템이 필요하면 이 시트의 목록에 값을 추가하세요.  ※ [수행조직] 은 목록 없이 자유 입력입니다.
※ 데이터 위치 목록에는 N-ERP 체계도의 시스템 코드(MDG · SRM · e-Acc · DQM 등)를 함께 담았습니다.</t>
  </si>
  <si>
    <t>빈도 단위</t>
  </si>
  <si>
    <t>② 적용 수단
(무엇으로)</t>
  </si>
  <si>
    <t>① 변화 유형
(어떻게)</t>
  </si>
  <si>
    <t>③ 수행 주체
(누가 · AS-IS·TO-BE 공용)</t>
  </si>
  <si>
    <t>연 환산계수</t>
  </si>
  <si>
    <t>일</t>
  </si>
  <si>
    <t>유지</t>
  </si>
  <si>
    <t>SI</t>
  </si>
  <si>
    <t>ERP</t>
  </si>
  <si>
    <t>월</t>
  </si>
  <si>
    <t>N-ERP</t>
  </si>
  <si>
    <t>주</t>
  </si>
  <si>
    <t>시스템(AI 외)</t>
  </si>
  <si>
    <t>건물관리</t>
  </si>
  <si>
    <t>SI Data Hub</t>
  </si>
  <si>
    <t>건별/비정기</t>
  </si>
  <si>
    <t>없음</t>
  </si>
  <si>
    <t>삭제</t>
  </si>
  <si>
    <t>R&amp;D</t>
  </si>
  <si>
    <t>CRM</t>
  </si>
  <si>
    <t>공통</t>
  </si>
  <si>
    <t>EVM</t>
  </si>
  <si>
    <t>경영지원</t>
  </si>
  <si>
    <t>파라미터</t>
  </si>
  <si>
    <t>값</t>
  </si>
  <si>
    <t>1 FTE (H/년)</t>
  </si>
  <si>
    <t>관제시스템</t>
  </si>
  <si>
    <t>※ 건별/비정기 행은 각 행의 [연 대상 건수] 값으로 환산합니다.</t>
  </si>
  <si>
    <t>※ 1 FTE 값을 바꾸면 효과 산출 열 전체가 갱신됩니다.</t>
  </si>
  <si>
    <t>※ TO-BE 공수도 AS-IS 빈도로 환산합니다.</t>
  </si>
  <si>
    <t>Legacy</t>
  </si>
  <si>
    <t>MDG</t>
  </si>
  <si>
    <t>SRM</t>
  </si>
  <si>
    <t>e-Acc</t>
  </si>
  <si>
    <t>DQM</t>
  </si>
  <si>
    <t>CAD</t>
  </si>
  <si>
    <t>BI</t>
  </si>
  <si>
    <t>HR</t>
  </si>
  <si>
    <t>시장환경분석서작성</t>
    <phoneticPr fontId="9" type="noConversion"/>
  </si>
  <si>
    <t>● 빈도 단위</t>
    <phoneticPr fontId="9" type="noConversion"/>
  </si>
  <si>
    <t>정의된 선별 기준에 따라 수집 자료를 1차 선별한다</t>
    <phoneticPr fontId="9" type="noConversion"/>
  </si>
  <si>
    <t>5개 축을 사람이 매번 수동으로 돌며
소싱해 반복작업에 시간이 과다 소모된다</t>
    <phoneticPr fontId="9" type="noConversion"/>
  </si>
  <si>
    <t>일간 MI는 현재 진행하고 있지 않은 부분이라서 인원수는 기재하지 않았으므로 참고 부탁드립니다.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</si>
</sst>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10" x14ac:knownFonts="1">
    <font>
      <sz val="11"/>
      <color theme="1"/>
      <name val="맑은 고딕"/>
      <family val="2"/>
      <scheme val="minor"/>
    </font>
    <font>
      <b/>
      <sz val="15"/>
      <color rgb="FF000000"/>
      <name val="맑은 고딕"/>
      <family val="3"/>
      <charset val="129"/>
    </font>
    <font>
      <sz val="10"/>
      <color rgb="FF666666"/>
      <name val="맑은 고딕"/>
      <family val="3"/>
      <charset val="129"/>
    </font>
    <font>
      <b/>
      <sz val="12"/>
      <color rgb="FFB35C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0"/>
      <color rgb="FF7A4E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9E0"/>
      </patternFill>
    </fill>
    <fill>
      <patternFill patternType="solid">
        <fgColor rgb="FFF2F2F2"/>
      </patternFill>
    </fill>
    <fill>
      <patternFill patternType="solid">
        <fgColor rgb="FFE9ECF2"/>
      </patternFill>
    </fill>
    <fill>
      <patternFill patternType="solid">
        <fgColor rgb="FFFFF6D9"/>
      </patternFill>
    </fill>
    <fill>
      <patternFill patternType="solid">
        <fgColor rgb="FFD9E2F0"/>
      </patternFill>
    </fill>
    <fill>
      <patternFill patternType="solid">
        <fgColor rgb="FFFCE4D6"/>
      </patternFill>
    </fill>
    <fill>
      <patternFill patternType="solid">
        <fgColor rgb="FFD7E9D7"/>
      </patternFill>
    </fill>
    <fill>
      <patternFill patternType="solid">
        <fgColor rgb="FFECECEC"/>
      </patternFill>
    </fill>
    <fill>
      <patternFill patternType="solid">
        <fgColor rgb="FFF4E9DA"/>
      </patternFill>
    </fill>
    <fill>
      <patternFill patternType="solid">
        <fgColor rgb="FFEDF2F9"/>
      </patternFill>
    </fill>
    <fill>
      <patternFill patternType="solid">
        <fgColor rgb="FFF6D4D4"/>
      </patternFill>
    </fill>
    <fill>
      <patternFill patternType="solid">
        <fgColor rgb="FFFDF0E7"/>
      </patternFill>
    </fill>
    <fill>
      <patternFill patternType="solid">
        <fgColor rgb="FFEDF6ED"/>
      </patternFill>
    </fill>
    <fill>
      <patternFill patternType="solid">
        <fgColor rgb="FFFFF2CC"/>
      </patternFill>
    </fill>
    <fill>
      <patternFill patternType="solid">
        <fgColor rgb="FFFFFDF3"/>
      </patternFill>
    </fill>
    <fill>
      <patternFill patternType="solid">
        <fgColor rgb="FFFCF4F4"/>
      </patternFill>
    </fill>
    <fill>
      <patternFill patternType="solid">
        <fgColor rgb="FFF5F5F5"/>
      </patternFill>
    </fill>
    <fill>
      <patternFill patternType="solid">
        <fgColor rgb="FFE4F3E7"/>
      </patternFill>
    </fill>
    <fill>
      <patternFill patternType="solid">
        <fgColor rgb="FFF5F7FA"/>
      </patternFill>
    </fill>
  </fills>
  <borders count="4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/>
      <right/>
      <top style="thin">
        <color rgb="FFD4D4D4"/>
      </top>
      <bottom style="thin">
        <color rgb="FFD4D4D4"/>
      </bottom>
      <diagonal/>
    </border>
    <border>
      <left/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vertical="center" wrapText="1"/>
    </xf>
    <xf numFmtId="0" fontId="0" fillId="4" borderId="0" xfId="0" applyFill="1"/>
    <xf numFmtId="0" fontId="6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0" fontId="0" fillId="5" borderId="1" xfId="0" applyFill="1" applyBorder="1"/>
    <xf numFmtId="0" fontId="6" fillId="7" borderId="0" xfId="0" applyFont="1" applyFill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left" vertical="center" wrapText="1"/>
    </xf>
    <xf numFmtId="176" fontId="4" fillId="18" borderId="1" xfId="0" applyNumberFormat="1" applyFont="1" applyFill="1" applyBorder="1" applyAlignment="1">
      <alignment horizontal="right" vertical="center" wrapText="1"/>
    </xf>
    <xf numFmtId="2" fontId="4" fillId="18" borderId="1" xfId="0" applyNumberFormat="1" applyFont="1" applyFill="1" applyBorder="1" applyAlignment="1">
      <alignment horizontal="right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19" borderId="1" xfId="0" applyFont="1" applyFill="1" applyBorder="1" applyAlignment="1">
      <alignment horizontal="center" vertical="center" wrapText="1"/>
    </xf>
    <xf numFmtId="0" fontId="6" fillId="19" borderId="1" xfId="0" applyFont="1" applyFill="1" applyBorder="1" applyAlignment="1">
      <alignment horizontal="left" vertical="center" wrapText="1"/>
    </xf>
    <xf numFmtId="0" fontId="4" fillId="19" borderId="1" xfId="0" applyFont="1" applyFill="1" applyBorder="1" applyAlignment="1">
      <alignment horizontal="left" vertical="center" wrapText="1"/>
    </xf>
    <xf numFmtId="0" fontId="6" fillId="19" borderId="1" xfId="0" applyFont="1" applyFill="1" applyBorder="1" applyAlignment="1">
      <alignment horizontal="center" vertical="center" wrapText="1"/>
    </xf>
    <xf numFmtId="0" fontId="4" fillId="20" borderId="1" xfId="0" applyFont="1" applyFill="1" applyBorder="1" applyAlignment="1">
      <alignment horizontal="center" vertical="center" wrapText="1"/>
    </xf>
    <xf numFmtId="0" fontId="4" fillId="20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6" fillId="8" borderId="0" xfId="0" applyFont="1" applyFill="1" applyAlignment="1">
      <alignment horizontal="center" vertical="center" wrapText="1"/>
    </xf>
    <xf numFmtId="0" fontId="0" fillId="0" borderId="0" xfId="0"/>
    <xf numFmtId="0" fontId="6" fillId="4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10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표준" xfId="0" builtinId="0"/>
  </cellStyles>
  <dxfs count="8">
    <dxf>
      <fill>
        <patternFill patternType="solid">
          <fgColor rgb="FFFFF6E6"/>
          <bgColor rgb="FFFFF6E6"/>
        </patternFill>
      </fill>
    </dxf>
    <dxf>
      <fill>
        <patternFill patternType="solid">
          <fgColor rgb="FFFDECEC"/>
          <bgColor rgb="FFFDECEC"/>
        </patternFill>
      </fill>
    </dxf>
    <dxf>
      <fill>
        <patternFill patternType="solid">
          <fgColor rgb="FFFFF6E6"/>
          <bgColor rgb="FFFFF6E6"/>
        </patternFill>
      </fill>
    </dxf>
    <dxf>
      <fill>
        <patternFill patternType="solid">
          <fgColor rgb="FFFDECEC"/>
          <bgColor rgb="FFFDECEC"/>
        </patternFill>
      </fill>
    </dxf>
    <dxf>
      <fill>
        <patternFill patternType="solid">
          <fgColor rgb="FFFFF6E6"/>
          <bgColor rgb="FFFFF6E6"/>
        </patternFill>
      </fill>
    </dxf>
    <dxf>
      <fill>
        <patternFill patternType="solid">
          <fgColor rgb="FFFDECEC"/>
          <bgColor rgb="FFFDECEC"/>
        </patternFill>
      </fill>
    </dxf>
    <dxf>
      <fill>
        <patternFill patternType="solid">
          <fgColor rgb="FFFFF6E6"/>
          <bgColor rgb="FFFFF6E6"/>
        </patternFill>
      </fill>
    </dxf>
    <dxf>
      <fill>
        <patternFill patternType="solid">
          <fgColor rgb="FFFDECEC"/>
          <bgColor rgb="FFFDECE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FBFBF"/>
  </sheetPr>
  <dimension ref="B2:C23"/>
  <sheetViews>
    <sheetView showGridLines="0" topLeftCell="A18" workbookViewId="0">
      <selection activeCell="C23" sqref="C23"/>
    </sheetView>
  </sheetViews>
  <sheetFormatPr defaultRowHeight="16.5" x14ac:dyDescent="0.3"/>
  <cols>
    <col min="1" max="1" width="2" customWidth="1"/>
    <col min="2" max="2" width="19" customWidth="1"/>
    <col min="3" max="3" width="104" customWidth="1"/>
  </cols>
  <sheetData>
    <row r="2" spans="2:3" ht="30" customHeight="1" x14ac:dyDescent="0.3">
      <c r="B2" s="1" t="s">
        <v>0</v>
      </c>
    </row>
    <row r="3" spans="2:3" x14ac:dyDescent="0.3">
      <c r="B3" s="2" t="s">
        <v>1</v>
      </c>
    </row>
    <row r="5" spans="2:3" ht="61.5" customHeight="1" x14ac:dyDescent="0.3">
      <c r="B5" s="3" t="s">
        <v>2</v>
      </c>
      <c r="C5" s="4" t="s">
        <v>3</v>
      </c>
    </row>
    <row r="6" spans="2:3" ht="8.1" customHeight="1" x14ac:dyDescent="0.3"/>
    <row r="7" spans="2:3" ht="233.65" customHeight="1" x14ac:dyDescent="0.3">
      <c r="B7" s="3" t="s">
        <v>4</v>
      </c>
      <c r="C7" s="4" t="s">
        <v>5</v>
      </c>
    </row>
    <row r="8" spans="2:3" ht="8.1" customHeight="1" x14ac:dyDescent="0.3"/>
    <row r="9" spans="2:3" ht="130.35" customHeight="1" x14ac:dyDescent="0.3">
      <c r="B9" s="3" t="s">
        <v>6</v>
      </c>
      <c r="C9" s="4" t="s">
        <v>7</v>
      </c>
    </row>
    <row r="10" spans="2:3" ht="8.1" customHeight="1" x14ac:dyDescent="0.3"/>
    <row r="11" spans="2:3" ht="233.65" customHeight="1" x14ac:dyDescent="0.3">
      <c r="B11" s="3" t="s">
        <v>8</v>
      </c>
      <c r="C11" s="4" t="s">
        <v>9</v>
      </c>
    </row>
    <row r="12" spans="2:3" ht="8.1" customHeight="1" x14ac:dyDescent="0.3"/>
    <row r="13" spans="2:3" ht="216.4" customHeight="1" x14ac:dyDescent="0.3">
      <c r="B13" s="3" t="s">
        <v>10</v>
      </c>
      <c r="C13" s="4" t="s">
        <v>11</v>
      </c>
    </row>
    <row r="14" spans="2:3" ht="8.1" customHeight="1" x14ac:dyDescent="0.3"/>
    <row r="15" spans="2:3" ht="96" customHeight="1" x14ac:dyDescent="0.3">
      <c r="B15" s="5" t="s">
        <v>12</v>
      </c>
      <c r="C15" s="6" t="s">
        <v>13</v>
      </c>
    </row>
    <row r="16" spans="2:3" ht="8.1" customHeight="1" x14ac:dyDescent="0.3"/>
    <row r="17" spans="2:3" ht="113.25" customHeight="1" x14ac:dyDescent="0.3">
      <c r="B17" s="5" t="s">
        <v>14</v>
      </c>
      <c r="C17" s="6" t="s">
        <v>15</v>
      </c>
    </row>
    <row r="18" spans="2:3" ht="8.1" customHeight="1" x14ac:dyDescent="0.3"/>
    <row r="19" spans="2:3" ht="78.75" customHeight="1" x14ac:dyDescent="0.3">
      <c r="B19" s="5" t="s">
        <v>16</v>
      </c>
      <c r="C19" s="6" t="s">
        <v>17</v>
      </c>
    </row>
    <row r="20" spans="2:3" ht="8.1" customHeight="1" x14ac:dyDescent="0.3"/>
    <row r="21" spans="2:3" ht="96" customHeight="1" x14ac:dyDescent="0.3">
      <c r="B21" s="5" t="s">
        <v>18</v>
      </c>
      <c r="C21" s="6" t="s">
        <v>19</v>
      </c>
    </row>
    <row r="22" spans="2:3" ht="8.1" customHeight="1" x14ac:dyDescent="0.3"/>
    <row r="23" spans="2:3" ht="78.75" customHeight="1" x14ac:dyDescent="0.3">
      <c r="B23" s="5" t="s">
        <v>20</v>
      </c>
      <c r="C23" s="6" t="s">
        <v>21</v>
      </c>
    </row>
  </sheetData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FBFBF"/>
  </sheetPr>
  <dimension ref="B2:C29"/>
  <sheetViews>
    <sheetView showGridLines="0" workbookViewId="0">
      <pane xSplit="2" ySplit="5" topLeftCell="C24" activePane="bottomRight" state="frozen"/>
      <selection pane="topRight"/>
      <selection pane="bottomLeft"/>
      <selection pane="bottomRight" activeCell="C27" sqref="C27"/>
    </sheetView>
  </sheetViews>
  <sheetFormatPr defaultRowHeight="16.5" x14ac:dyDescent="0.3"/>
  <cols>
    <col min="1" max="1" width="2" customWidth="1"/>
    <col min="2" max="2" width="24" customWidth="1"/>
    <col min="3" max="3" width="96" customWidth="1"/>
  </cols>
  <sheetData>
    <row r="2" spans="2:3" ht="30" customHeight="1" x14ac:dyDescent="0.3">
      <c r="B2" s="1" t="s">
        <v>22</v>
      </c>
    </row>
    <row r="3" spans="2:3" x14ac:dyDescent="0.3">
      <c r="B3" s="2" t="s">
        <v>23</v>
      </c>
    </row>
    <row r="5" spans="2:3" ht="27.95" customHeight="1" x14ac:dyDescent="0.3">
      <c r="B5" s="7" t="s">
        <v>24</v>
      </c>
      <c r="C5" s="7" t="s">
        <v>25</v>
      </c>
    </row>
    <row r="6" spans="2:3" ht="21" customHeight="1" x14ac:dyDescent="0.3">
      <c r="B6" s="8" t="s">
        <v>26</v>
      </c>
      <c r="C6" s="9"/>
    </row>
    <row r="7" spans="2:3" ht="21.6" customHeight="1" x14ac:dyDescent="0.3">
      <c r="B7" s="10" t="s">
        <v>27</v>
      </c>
      <c r="C7" s="11" t="s">
        <v>28</v>
      </c>
    </row>
    <row r="8" spans="2:3" ht="21.6" customHeight="1" x14ac:dyDescent="0.3">
      <c r="B8" s="10" t="s">
        <v>29</v>
      </c>
      <c r="C8" s="11" t="s">
        <v>30</v>
      </c>
    </row>
    <row r="9" spans="2:3" ht="21.6" customHeight="1" x14ac:dyDescent="0.3">
      <c r="B9" s="10" t="s">
        <v>31</v>
      </c>
      <c r="C9" s="11" t="s">
        <v>32</v>
      </c>
    </row>
    <row r="10" spans="2:3" ht="37.15" customHeight="1" x14ac:dyDescent="0.3">
      <c r="B10" s="10" t="s">
        <v>33</v>
      </c>
      <c r="C10" s="11" t="s">
        <v>34</v>
      </c>
    </row>
    <row r="11" spans="2:3" ht="302.45" customHeight="1" x14ac:dyDescent="0.3">
      <c r="B11" s="10" t="s">
        <v>35</v>
      </c>
      <c r="C11" s="11" t="s">
        <v>36</v>
      </c>
    </row>
    <row r="12" spans="2:3" ht="21" customHeight="1" x14ac:dyDescent="0.3">
      <c r="B12" s="10" t="s">
        <v>37</v>
      </c>
      <c r="C12" s="11"/>
    </row>
    <row r="13" spans="2:3" ht="21.6" customHeight="1" x14ac:dyDescent="0.3">
      <c r="B13" s="8" t="s">
        <v>38</v>
      </c>
      <c r="C13" s="9" t="s">
        <v>39</v>
      </c>
    </row>
    <row r="14" spans="2:3" ht="37.15" customHeight="1" x14ac:dyDescent="0.3">
      <c r="B14" s="10" t="s">
        <v>40</v>
      </c>
      <c r="C14" s="11" t="s">
        <v>41</v>
      </c>
    </row>
    <row r="15" spans="2:3" ht="21" customHeight="1" x14ac:dyDescent="0.3">
      <c r="B15" s="10" t="s">
        <v>42</v>
      </c>
      <c r="C15" s="11"/>
    </row>
    <row r="16" spans="2:3" ht="52.9" customHeight="1" x14ac:dyDescent="0.3">
      <c r="B16" s="8" t="s">
        <v>43</v>
      </c>
      <c r="C16" s="9" t="s">
        <v>44</v>
      </c>
    </row>
    <row r="17" spans="2:3" ht="21.6" customHeight="1" x14ac:dyDescent="0.3">
      <c r="B17" s="10" t="s">
        <v>45</v>
      </c>
      <c r="C17" s="11" t="s">
        <v>46</v>
      </c>
    </row>
    <row r="18" spans="2:3" ht="21.6" customHeight="1" x14ac:dyDescent="0.3">
      <c r="B18" s="10" t="s">
        <v>47</v>
      </c>
      <c r="C18" s="11" t="s">
        <v>48</v>
      </c>
    </row>
    <row r="19" spans="2:3" ht="21.6" customHeight="1" x14ac:dyDescent="0.3">
      <c r="B19" s="10" t="s">
        <v>49</v>
      </c>
      <c r="C19" s="11" t="s">
        <v>50</v>
      </c>
    </row>
    <row r="20" spans="2:3" ht="21.6" customHeight="1" x14ac:dyDescent="0.3">
      <c r="B20" s="10" t="s">
        <v>51</v>
      </c>
      <c r="C20" s="11" t="s">
        <v>52</v>
      </c>
    </row>
    <row r="21" spans="2:3" ht="21" customHeight="1" x14ac:dyDescent="0.3">
      <c r="B21" s="10" t="s">
        <v>53</v>
      </c>
      <c r="C21" s="11"/>
    </row>
    <row r="22" spans="2:3" ht="21.6" customHeight="1" x14ac:dyDescent="0.3">
      <c r="B22" s="8" t="s">
        <v>54</v>
      </c>
      <c r="C22" s="9" t="s">
        <v>55</v>
      </c>
    </row>
    <row r="23" spans="2:3" ht="52.9" customHeight="1" x14ac:dyDescent="0.3">
      <c r="B23" s="10" t="s">
        <v>56</v>
      </c>
      <c r="C23" s="11" t="s">
        <v>57</v>
      </c>
    </row>
    <row r="24" spans="2:3" ht="52.9" customHeight="1" x14ac:dyDescent="0.3">
      <c r="B24" s="10" t="s">
        <v>58</v>
      </c>
      <c r="C24" s="11" t="s">
        <v>59</v>
      </c>
    </row>
    <row r="25" spans="2:3" ht="21" customHeight="1" x14ac:dyDescent="0.3">
      <c r="B25" s="10" t="s">
        <v>60</v>
      </c>
      <c r="C25" s="11"/>
    </row>
    <row r="26" spans="2:3" ht="99.6" customHeight="1" x14ac:dyDescent="0.3">
      <c r="B26" s="8" t="s">
        <v>61</v>
      </c>
      <c r="C26" s="9" t="s">
        <v>62</v>
      </c>
    </row>
    <row r="27" spans="2:3" ht="37.15" customHeight="1" x14ac:dyDescent="0.3">
      <c r="B27" s="10" t="s">
        <v>63</v>
      </c>
      <c r="C27" s="11" t="s">
        <v>64</v>
      </c>
    </row>
    <row r="28" spans="2:3" ht="68.45" customHeight="1" x14ac:dyDescent="0.3">
      <c r="B28" s="10" t="s">
        <v>65</v>
      </c>
      <c r="C28" s="11" t="s">
        <v>66</v>
      </c>
    </row>
    <row r="29" spans="2:3" ht="96" customHeight="1" x14ac:dyDescent="0.3"/>
  </sheetData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  <outlinePr summaryRight="0"/>
  </sheetPr>
  <dimension ref="A2:BC107"/>
  <sheetViews>
    <sheetView tabSelected="1" zoomScale="70" zoomScaleNormal="70" workbookViewId="0">
      <pane xSplit="12" ySplit="5" topLeftCell="M6" activePane="bottomRight" state="frozen"/>
      <selection pane="topRight"/>
      <selection pane="bottomLeft"/>
      <selection pane="bottomRight" activeCell="B4" sqref="B4:K4"/>
    </sheetView>
  </sheetViews>
  <sheetFormatPr defaultRowHeight="16.5" outlineLevelCol="1" x14ac:dyDescent="0.3"/>
  <cols>
    <col min="2" max="2" width="8" customWidth="1"/>
    <col min="3" max="3" width="23" hidden="1" customWidth="1"/>
    <col min="4" max="4" width="10" hidden="1" customWidth="1"/>
    <col min="5" max="5" width="12" hidden="1" customWidth="1"/>
    <col min="6" max="6" width="9" customWidth="1"/>
    <col min="7" max="7" width="21" customWidth="1"/>
    <col min="8" max="8" width="28" customWidth="1"/>
    <col min="9" max="9" width="23" customWidth="1"/>
    <col min="10" max="10" width="32" customWidth="1"/>
    <col min="11" max="11" width="16" hidden="1" customWidth="1"/>
    <col min="12" max="12" width="56" customWidth="1"/>
    <col min="13" max="13" width="50" customWidth="1"/>
    <col min="14" max="14" width="19" customWidth="1" outlineLevel="1"/>
    <col min="15" max="15" width="12" customWidth="1" outlineLevel="1"/>
    <col min="16" max="16" width="15" customWidth="1" outlineLevel="1"/>
    <col min="17" max="17" width="14" customWidth="1" outlineLevel="1"/>
    <col min="18" max="19" width="16" customWidth="1" outlineLevel="1"/>
    <col min="20" max="20" width="14" customWidth="1" outlineLevel="1"/>
    <col min="21" max="22" width="32" customWidth="1" outlineLevel="1"/>
    <col min="23" max="23" width="19" customWidth="1" outlineLevel="1"/>
    <col min="24" max="24" width="19" customWidth="1"/>
    <col min="25" max="25" width="19" customWidth="1" outlineLevel="1"/>
    <col min="26" max="26" width="56" customWidth="1" outlineLevel="1"/>
    <col min="27" max="27" width="19" customWidth="1" outlineLevel="1"/>
    <col min="28" max="28" width="12" customWidth="1" outlineLevel="1"/>
    <col min="29" max="29" width="15" customWidth="1" outlineLevel="1"/>
    <col min="30" max="30" width="14" customWidth="1" outlineLevel="1"/>
    <col min="31" max="32" width="32" customWidth="1" outlineLevel="1"/>
    <col min="33" max="33" width="15" customWidth="1" outlineLevel="1"/>
    <col min="34" max="35" width="14" customWidth="1"/>
    <col min="36" max="36" width="10" customWidth="1"/>
    <col min="37" max="37" width="8" customWidth="1"/>
    <col min="38" max="38" width="12" customWidth="1"/>
    <col min="39" max="39" width="40" customWidth="1"/>
    <col min="40" max="40" width="32" customWidth="1"/>
    <col min="41" max="41" width="36" customWidth="1"/>
    <col min="42" max="42" width="11" customWidth="1"/>
    <col min="43" max="43" width="26" customWidth="1"/>
    <col min="44" max="44" width="10" customWidth="1"/>
    <col min="45" max="45" width="42" customWidth="1"/>
    <col min="46" max="47" width="10" customWidth="1"/>
    <col min="48" max="55" width="13" hidden="1" customWidth="1"/>
  </cols>
  <sheetData>
    <row r="2" spans="1:55" ht="30" customHeight="1" x14ac:dyDescent="0.3">
      <c r="B2" s="12" t="s">
        <v>67</v>
      </c>
    </row>
    <row r="3" spans="1:55" ht="117.95" customHeight="1" x14ac:dyDescent="0.3">
      <c r="A3" s="13"/>
      <c r="B3" s="37" t="s">
        <v>68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9"/>
    </row>
    <row r="4" spans="1:55" ht="27.2" customHeight="1" x14ac:dyDescent="0.3">
      <c r="B4" s="42" t="s">
        <v>69</v>
      </c>
      <c r="C4" s="41"/>
      <c r="D4" s="41"/>
      <c r="E4" s="41"/>
      <c r="F4" s="41"/>
      <c r="G4" s="41"/>
      <c r="H4" s="41"/>
      <c r="I4" s="41"/>
      <c r="J4" s="41"/>
      <c r="K4" s="41"/>
      <c r="L4" s="42" t="s">
        <v>70</v>
      </c>
      <c r="M4" s="41"/>
      <c r="N4" s="44" t="s">
        <v>71</v>
      </c>
      <c r="O4" s="41"/>
      <c r="P4" s="41"/>
      <c r="Q4" s="41"/>
      <c r="R4" s="41"/>
      <c r="S4" s="41"/>
      <c r="T4" s="41"/>
      <c r="U4" s="41"/>
      <c r="V4" s="41"/>
      <c r="W4" s="41"/>
      <c r="X4" s="14" t="s">
        <v>72</v>
      </c>
      <c r="Y4" s="40" t="s">
        <v>73</v>
      </c>
      <c r="Z4" s="41"/>
      <c r="AA4" s="41"/>
      <c r="AB4" s="41"/>
      <c r="AC4" s="41"/>
      <c r="AD4" s="41"/>
      <c r="AE4" s="41"/>
      <c r="AF4" s="41"/>
      <c r="AG4" s="41"/>
      <c r="AH4" s="43" t="s">
        <v>74</v>
      </c>
      <c r="AI4" s="41"/>
      <c r="AJ4" s="41"/>
      <c r="AK4" s="41"/>
      <c r="AL4" s="45" t="s">
        <v>75</v>
      </c>
      <c r="AM4" s="41"/>
      <c r="AN4" s="41"/>
      <c r="AO4" s="41"/>
      <c r="AP4" s="43" t="s">
        <v>76</v>
      </c>
      <c r="AQ4" s="41"/>
      <c r="AR4" s="41"/>
      <c r="AS4" s="41"/>
      <c r="AT4" s="42" t="s">
        <v>77</v>
      </c>
      <c r="AU4" s="41"/>
    </row>
    <row r="5" spans="1:55" ht="63.6" customHeight="1" x14ac:dyDescent="0.3">
      <c r="B5" s="7" t="s">
        <v>78</v>
      </c>
      <c r="C5" s="7" t="s">
        <v>79</v>
      </c>
      <c r="D5" s="7" t="s">
        <v>80</v>
      </c>
      <c r="E5" s="7" t="s">
        <v>81</v>
      </c>
      <c r="F5" s="7" t="s">
        <v>82</v>
      </c>
      <c r="G5" s="7" t="s">
        <v>83</v>
      </c>
      <c r="H5" s="7" t="s">
        <v>84</v>
      </c>
      <c r="I5" s="7" t="s">
        <v>85</v>
      </c>
      <c r="J5" s="7" t="s">
        <v>86</v>
      </c>
      <c r="K5" s="7" t="s">
        <v>87</v>
      </c>
      <c r="L5" s="7" t="s">
        <v>88</v>
      </c>
      <c r="M5" s="7" t="s">
        <v>89</v>
      </c>
      <c r="N5" s="15" t="s">
        <v>90</v>
      </c>
      <c r="O5" s="15" t="s">
        <v>91</v>
      </c>
      <c r="P5" s="16" t="s">
        <v>92</v>
      </c>
      <c r="Q5" s="16" t="s">
        <v>93</v>
      </c>
      <c r="R5" s="16" t="s">
        <v>979</v>
      </c>
      <c r="S5" s="16" t="s">
        <v>94</v>
      </c>
      <c r="T5" s="16" t="s">
        <v>95</v>
      </c>
      <c r="U5" s="15" t="s">
        <v>96</v>
      </c>
      <c r="V5" s="15" t="s">
        <v>97</v>
      </c>
      <c r="W5" s="15" t="s">
        <v>98</v>
      </c>
      <c r="X5" s="17" t="s">
        <v>99</v>
      </c>
      <c r="Y5" s="18" t="s">
        <v>100</v>
      </c>
      <c r="Z5" s="18" t="s">
        <v>101</v>
      </c>
      <c r="AA5" s="18" t="s">
        <v>90</v>
      </c>
      <c r="AB5" s="18" t="s">
        <v>91</v>
      </c>
      <c r="AC5" s="16" t="s">
        <v>92</v>
      </c>
      <c r="AD5" s="16" t="s">
        <v>93</v>
      </c>
      <c r="AE5" s="18" t="s">
        <v>102</v>
      </c>
      <c r="AF5" s="18" t="s">
        <v>97</v>
      </c>
      <c r="AG5" s="18" t="s">
        <v>103</v>
      </c>
      <c r="AH5" s="7" t="s">
        <v>104</v>
      </c>
      <c r="AI5" s="7" t="s">
        <v>105</v>
      </c>
      <c r="AJ5" s="7" t="s">
        <v>106</v>
      </c>
      <c r="AK5" s="7" t="s">
        <v>107</v>
      </c>
      <c r="AL5" s="7" t="s">
        <v>108</v>
      </c>
      <c r="AM5" s="7" t="s">
        <v>109</v>
      </c>
      <c r="AN5" s="7" t="s">
        <v>110</v>
      </c>
      <c r="AO5" s="7" t="s">
        <v>111</v>
      </c>
      <c r="AP5" s="19" t="s">
        <v>112</v>
      </c>
      <c r="AQ5" s="19" t="s">
        <v>113</v>
      </c>
      <c r="AR5" s="19" t="s">
        <v>114</v>
      </c>
      <c r="AS5" s="7" t="s">
        <v>115</v>
      </c>
      <c r="AT5" s="7" t="s">
        <v>116</v>
      </c>
      <c r="AU5" s="7" t="s">
        <v>117</v>
      </c>
    </row>
    <row r="6" spans="1:55" ht="52.9" customHeight="1" x14ac:dyDescent="0.3">
      <c r="B6" s="20">
        <v>1</v>
      </c>
      <c r="C6" s="21" t="s">
        <v>118</v>
      </c>
      <c r="D6" s="21" t="s">
        <v>119</v>
      </c>
      <c r="E6" s="21" t="s">
        <v>32</v>
      </c>
      <c r="F6" s="21" t="s">
        <v>120</v>
      </c>
      <c r="G6" s="21" t="s">
        <v>121</v>
      </c>
      <c r="H6" s="21" t="s">
        <v>122</v>
      </c>
      <c r="I6" s="21" t="s">
        <v>123</v>
      </c>
      <c r="J6" s="21" t="s">
        <v>124</v>
      </c>
      <c r="K6" s="22" t="str">
        <f>IF($L6="","",$C6&amp;"-"&amp;TEXT(COUNTIFS($C$6:$C6,$C6),"00"))</f>
        <v>1.1.2.5.1-01</v>
      </c>
      <c r="L6" s="21" t="s">
        <v>125</v>
      </c>
      <c r="M6" s="23"/>
      <c r="N6" s="20" t="s">
        <v>126</v>
      </c>
      <c r="O6" s="23"/>
      <c r="P6" s="24">
        <v>15</v>
      </c>
      <c r="Q6" s="24">
        <v>1</v>
      </c>
      <c r="R6" s="24" t="s">
        <v>945</v>
      </c>
      <c r="S6" s="24">
        <v>1</v>
      </c>
      <c r="T6" s="24">
        <v>0</v>
      </c>
      <c r="U6" s="21" t="s">
        <v>127</v>
      </c>
      <c r="V6" s="21" t="s">
        <v>128</v>
      </c>
      <c r="W6" s="20" t="s">
        <v>129</v>
      </c>
      <c r="X6" s="20" t="s">
        <v>130</v>
      </c>
      <c r="Y6" s="20" t="s">
        <v>46</v>
      </c>
      <c r="Z6" s="21" t="s">
        <v>131</v>
      </c>
      <c r="AA6" s="20" t="s">
        <v>46</v>
      </c>
      <c r="AB6" s="23"/>
      <c r="AC6" s="24"/>
      <c r="AD6" s="24"/>
      <c r="AE6" s="21" t="s">
        <v>127</v>
      </c>
      <c r="AF6" s="21" t="s">
        <v>128</v>
      </c>
      <c r="AG6" s="20" t="s">
        <v>132</v>
      </c>
      <c r="AH6" s="25">
        <f>IF(OR($Q6="",$Q6=0,$P6=""),0,ROUND($P6*$Q6*IFERROR(IF($R6="건별/비정기",$T6,VLOOKUP($R6,'04.코드표'!$K$5:$L$8,2,FALSE)*$S6),0)/60,1))</f>
        <v>62.5</v>
      </c>
      <c r="AI6" s="25">
        <f>IF(OR($AD6="",$AD6=0,$AC6=""),0,ROUND($AC6*$AD6*IFERROR(IF($R6="건별/비정기",$T6,VLOOKUP($R6,'04.코드표'!$K$5:$L$8,2,FALSE)*$S6),0)/60,1))</f>
        <v>0</v>
      </c>
      <c r="AJ6" s="25">
        <f t="shared" ref="AJ6:AJ37" si="0">IF($L6="","",$AH6-$AI6)</f>
        <v>62.5</v>
      </c>
      <c r="AK6" s="26">
        <f>IF($L6="","",ROUND($AJ6/'04.코드표'!$L$11,2))</f>
        <v>0.03</v>
      </c>
      <c r="AL6" s="20" t="s">
        <v>133</v>
      </c>
      <c r="AM6" s="21" t="s">
        <v>981</v>
      </c>
      <c r="AN6" s="23"/>
      <c r="AO6" s="23"/>
      <c r="AP6" s="22">
        <f t="shared" ref="AP6:AP37" si="1">IF($L6="","",COUNTIFS($C$6:$C$62,$C6))</f>
        <v>4</v>
      </c>
      <c r="AQ6" s="22" t="str">
        <f t="shared" ref="AQ6:AQ37" si="2">IF($L6="","",IF($AP6=1,"⚠ 1개뿐 — 더 쪼개세요",IF($AP6=2,"△ 2개뿐 — 빠진 단계 확인",IF($AZ6&lt;=2,"△ 하는 일이 "&amp;$AZ6&amp;"가지뿐 — 빠진 단계 확인","○ 좋음 (하는 일 "&amp;$AZ6&amp;"가지)"))))</f>
        <v>○ 좋음 (하는 일 3가지)</v>
      </c>
      <c r="AR6" s="22" t="str">
        <f t="shared" ref="AR6:AR37" si="3">IF($L6="","",IF($BA6=0,"○ 다 채웠음","⚠ "&amp;$BA6&amp;"칸 비었음"))</f>
        <v>⚠ 2칸 비었음</v>
      </c>
      <c r="AS6" s="27" t="str">
        <f t="shared" ref="AS6:AS37" si="4">IF($L6="","",IF($BB6="","○ 문제 없음","⚠ "&amp;LEFT($BB6,LEN($BB6)-3)))</f>
        <v>○ 문제 없음</v>
      </c>
      <c r="AT6" s="23"/>
      <c r="AU6" s="23"/>
      <c r="AV6" s="28" t="str">
        <f t="shared" ref="AV6:AV37" si="5">IF($L6="","",TRIM(RIGHT(SUBSTITUTE($AW6," ",REPT(" ",120)),120)))</f>
        <v>수집한다</v>
      </c>
      <c r="AW6" s="28" t="str">
        <f t="shared" ref="AW6:AW37" si="6">SUBSTITUTE($L6,CHAR(10)," ")</f>
        <v>공공·정책, 미디어, 연구보고서 등 기본 채널에서 대상 자료를 수집한다</v>
      </c>
      <c r="AX6" s="28" t="str">
        <f t="shared" ref="AX6:AX37" si="7">SUBSTITUTE($J6,CHAR(10)," ")</f>
        <v>기 보유 MI정보리스트 우선 검색</v>
      </c>
      <c r="AY6" s="28" t="str">
        <f>IF($L6="","",IF(SUMPRODUCT(--ISNUMBER(SEARCH({"조회","수집","추출","검색","파악","취합","조달","접수","연계","연동","선별","확보","입수","조사","식별","검출","감지","스크랩","필터링"},$AV6)))&gt;0,"조회",IF(SUMPRODUCT(--ISNUMBER(SEARCH({"검토","검증","판정","판별","확인","승인","선정","대조","점검","분류","확정","평가","판단","심사","검수","비교","결정","구분","진단","판독","협의"},$AV6)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6)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6)))&gt;0,"작성","기타")))))</f>
        <v>조회</v>
      </c>
      <c r="AZ6" s="28">
        <f t="shared" ref="AZ6:AZ37" si="8">IF($L6="","",(COUNTIFS($C$6:$C$62,$C6,$AY$6:$AY$62,"조회")&gt;0)+(COUNTIFS($C$6:$C$62,$C6,$AY$6:$AY$62,"작성")&gt;0)+(COUNTIFS($C$6:$C$62,$C6,$AY$6:$AY$62,"검증")&gt;0)+(COUNTIFS($C$6:$C$62,$C6,$AY$6:$AY$62,"등록")&gt;0))</f>
        <v>3</v>
      </c>
      <c r="BA6" s="28">
        <f t="shared" ref="BA6:BA37" si="9">IF($L6="",0,IF($X6="신설",0,COUNTBLANK($N6)+COUNTBLANK($P6)+COUNTBLANK($Q6)+COUNTBLANK($R6)+IF($R6="건별/비정기",COUNTBLANK($T6),IF($R6="",0,COUNTBLANK($S6))))+IF($X6="삭제",0,COUNTBLANK($AC6)+COUNTBLANK($AD6)))</f>
        <v>2</v>
      </c>
      <c r="BB6" s="28" t="str">
        <f>IF($L6="","",IF(AND($AX6&lt;&gt;"",ISNUMBER(SEARCH($AX6,$AW6))),"L5 이름을 그대로 씀 · ","")&amp;IF(AND($L6&lt;&gt;"",$L6=$Z6),"개선 후 설명이 똑같음 · ","")&amp;IF(COUNTIFS($C$6:$C$62,$C6,$L$6:$L$62,$L6)&gt;1,"같은 내용이 또 있음 · ","")&amp;IF(AND($U6&lt;&gt;"",$U6=$V6),"필요 자료와 산출물이 같음 · ","")&amp;IF(AND($C6=$C5,$V5&lt;&gt;"",$U6&lt;&gt;"",ISERROR(SEARCH(SUBSTITUTE($V5,CHAR(10)," "),SUBSTITUTE($U6,CHAR(10)," "))),ISERROR(SEARCH(SUBSTITUTE($U6,CHAR(10)," "),SUBSTITUTE($V5,CHAR(10)," ")))),"앞 산출물과 이어지지 않음 · ","")&amp;IF(SUMPRODUCT(--ISNUMBER(SEARCH({"관리한다","처리한다","수행한다","진행한다"},$AW6)))&gt;0,"뭉뚱그린 동사 · ","")&amp;IF(ISNUMBER(SEARCH("하고 ",$AW6)),"한 줄에 동작 2개 · ","")&amp;IF(RIGHT($L6,2)&lt;&gt;"한다","~한다 로 안 끝남 · ","")&amp;IF(AND($P6&lt;&gt;"",N($P6)&gt;60),"1건 60분 넘음 — 더 쪼개세요 · ","")&amp;IF(AND($AA6="AI",$AD6&lt;&gt;"",N($AD6)&gt;0),"AI 혼자 하는데 사람 인원 있음 · ","")&amp;IF(AND($AA6="AI+사람",$AD6&lt;&gt;"",N($AD6)=0),"사람이 확인한다는데 인원 0 · ","")&amp;IF(AND($X6="유지",$Y6="AI"),"그대로 두는데 AI 를 쓴다고 함 · ","")&amp;IF(AND($X6="신설",COUNT($P6,$Q6)&gt;0),"새로 생기는 일인데 현재 공수가 있음 · ","")&amp;IF(AND($X6="삭제",COUNT($AC6,$AD6)&gt;0),"없애는 일인데 개선 후 공수가 있음 · ","")&amp;IF(AND($X6&lt;&gt;"신설",N($AH6)&gt;0,N($AI6)&gt;N($AH6)),"개선 후가 지금보다 더 오래 걸림 · ",""))</f>
        <v/>
      </c>
      <c r="BC6" s="28">
        <f t="shared" ref="BC6:BC37" si="10">IFERROR(IF($L6="",0,1/$AP6),0)</f>
        <v>0.25</v>
      </c>
    </row>
    <row r="7" spans="1:55" ht="37.15" customHeight="1" x14ac:dyDescent="0.3">
      <c r="B7" s="20">
        <v>2</v>
      </c>
      <c r="C7" s="21" t="s">
        <v>118</v>
      </c>
      <c r="D7" s="21" t="s">
        <v>119</v>
      </c>
      <c r="E7" s="21" t="s">
        <v>32</v>
      </c>
      <c r="F7" s="21" t="s">
        <v>120</v>
      </c>
      <c r="G7" s="21" t="s">
        <v>121</v>
      </c>
      <c r="H7" s="21" t="s">
        <v>122</v>
      </c>
      <c r="I7" s="21" t="s">
        <v>123</v>
      </c>
      <c r="J7" s="21" t="s">
        <v>124</v>
      </c>
      <c r="K7" s="22" t="str">
        <f>IF($L7="","",$C7&amp;"-"&amp;TEXT(COUNTIFS($C$6:$C7,$C7),"00"))</f>
        <v>1.1.2.5.1-02</v>
      </c>
      <c r="L7" s="21" t="s">
        <v>134</v>
      </c>
      <c r="M7" s="23"/>
      <c r="N7" s="20" t="s">
        <v>126</v>
      </c>
      <c r="O7" s="23"/>
      <c r="P7" s="24">
        <v>5</v>
      </c>
      <c r="Q7" s="24">
        <v>1</v>
      </c>
      <c r="R7" s="24" t="s">
        <v>951</v>
      </c>
      <c r="S7" s="24">
        <v>1</v>
      </c>
      <c r="T7" s="24">
        <v>0</v>
      </c>
      <c r="U7" s="21" t="s">
        <v>135</v>
      </c>
      <c r="V7" s="21" t="s">
        <v>136</v>
      </c>
      <c r="W7" s="20" t="s">
        <v>65</v>
      </c>
      <c r="X7" s="20" t="s">
        <v>130</v>
      </c>
      <c r="Y7" s="20" t="s">
        <v>46</v>
      </c>
      <c r="Z7" s="21" t="s">
        <v>137</v>
      </c>
      <c r="AA7" s="20" t="s">
        <v>46</v>
      </c>
      <c r="AB7" s="23"/>
      <c r="AC7" s="24"/>
      <c r="AD7" s="24"/>
      <c r="AE7" s="21" t="s">
        <v>135</v>
      </c>
      <c r="AF7" s="21" t="s">
        <v>136</v>
      </c>
      <c r="AG7" s="20" t="s">
        <v>132</v>
      </c>
      <c r="AH7" s="25">
        <f>IF(OR($Q7="",$Q7=0,$P7=""),0,ROUND($P7*$Q7*IFERROR(IF($R7="건별/비정기",$T7,VLOOKUP($R7,'04.코드표'!$K$5:$L$8,2,FALSE)*$S7),0)/60,1))</f>
        <v>4.3</v>
      </c>
      <c r="AI7" s="25">
        <f>IF(OR($AD7="",$AD7=0,$AC7=""),0,ROUND($AC7*$AD7*IFERROR(IF($R7="건별/비정기",$T7,VLOOKUP($R7,'04.코드표'!$K$5:$L$8,2,FALSE)*$S7),0)/60,1))</f>
        <v>0</v>
      </c>
      <c r="AJ7" s="25">
        <f t="shared" si="0"/>
        <v>4.3</v>
      </c>
      <c r="AK7" s="26">
        <f>IF($L7="","",ROUND($AJ7/'04.코드표'!$L$11,2))</f>
        <v>0</v>
      </c>
      <c r="AL7" s="20" t="s">
        <v>133</v>
      </c>
      <c r="AM7" s="21" t="s">
        <v>138</v>
      </c>
      <c r="AN7" s="23"/>
      <c r="AO7" s="23"/>
      <c r="AP7" s="22">
        <f t="shared" si="1"/>
        <v>4</v>
      </c>
      <c r="AQ7" s="22" t="str">
        <f t="shared" si="2"/>
        <v>○ 좋음 (하는 일 3가지)</v>
      </c>
      <c r="AR7" s="22" t="str">
        <f t="shared" si="3"/>
        <v>⚠ 2칸 비었음</v>
      </c>
      <c r="AS7" s="27" t="str">
        <f t="shared" si="4"/>
        <v>○ 문제 없음</v>
      </c>
      <c r="AT7" s="23"/>
      <c r="AU7" s="23"/>
      <c r="AV7" s="28" t="str">
        <f t="shared" si="5"/>
        <v>제거한다</v>
      </c>
      <c r="AW7" s="28" t="str">
        <f t="shared" si="6"/>
        <v>기 보유 MI정보리스트와 대조하여 중복 자료를 제거한다</v>
      </c>
      <c r="AX7" s="28" t="str">
        <f t="shared" si="7"/>
        <v>기 보유 MI정보리스트 우선 검색</v>
      </c>
      <c r="AY7" s="28" t="str">
        <f>IF($L7="","",IF(SUMPRODUCT(--ISNUMBER(SEARCH({"조회","수집","추출","검색","파악","취합","조달","접수","연계","연동","선별","확보","입수","조사","식별","검출","감지","스크랩","필터링"},$AV7)))&gt;0,"조회",IF(SUMPRODUCT(--ISNUMBER(SEARCH({"검토","검증","판정","판별","확인","승인","선정","대조","점검","분류","확정","평가","판단","심사","검수","비교","결정","구분","진단","판독","협의"},$AV7)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7)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7)))&gt;0,"작성","기타")))))</f>
        <v>작성</v>
      </c>
      <c r="AZ7" s="28">
        <f t="shared" si="8"/>
        <v>3</v>
      </c>
      <c r="BA7" s="28">
        <f t="shared" si="9"/>
        <v>2</v>
      </c>
      <c r="BB7" s="28" t="str">
        <f>IF($L7="","",IF(AND($AX7&lt;&gt;"",ISNUMBER(SEARCH($AX7,$AW7))),"L5 이름을 그대로 씀 · ","")&amp;IF(AND($L7&lt;&gt;"",$L7=$Z7),"개선 후 설명이 똑같음 · ","")&amp;IF(COUNTIFS($C$6:$C$62,$C7,$L$6:$L$62,$L7)&gt;1,"같은 내용이 또 있음 · ","")&amp;IF(AND($U7&lt;&gt;"",$U7=$V7),"필요 자료와 산출물이 같음 · ","")&amp;IF(AND($C7=$C5,$V5&lt;&gt;"",$U7&lt;&gt;"",ISERROR(SEARCH(SUBSTITUTE($V5,CHAR(10)," "),SUBSTITUTE($U7,CHAR(10)," "))),ISERROR(SEARCH(SUBSTITUTE($U7,CHAR(10)," "),SUBSTITUTE($V5,CHAR(10)," ")))),"앞 산출물과 이어지지 않음 · ","")&amp;IF(SUMPRODUCT(--ISNUMBER(SEARCH({"관리한다","처리한다","수행한다","진행한다"},$AW7)))&gt;0,"뭉뚱그린 동사 · ","")&amp;IF(ISNUMBER(SEARCH("하고 ",$AW7)),"한 줄에 동작 2개 · ","")&amp;IF(RIGHT($L7,2)&lt;&gt;"한다","~한다 로 안 끝남 · ","")&amp;IF(AND($P7&lt;&gt;"",N($P7)&gt;60),"1건 60분 넘음 — 더 쪼개세요 · ","")&amp;IF(AND($AA7="AI",$AD7&lt;&gt;"",N($AD7)&gt;0),"AI 혼자 하는데 사람 인원 있음 · ","")&amp;IF(AND($AA7="AI+사람",$AD7&lt;&gt;"",N($AD7)=0),"사람이 확인한다는데 인원 0 · ","")&amp;IF(AND($X7="유지",$Y7="AI"),"그대로 두는데 AI 를 쓴다고 함 · ","")&amp;IF(AND($X7="신설",COUNT($P7,$Q7)&gt;0),"새로 생기는 일인데 현재 공수가 있음 · ","")&amp;IF(AND($X7="삭제",COUNT($AC7,$AD7)&gt;0),"없애는 일인데 개선 후 공수가 있음 · ","")&amp;IF(AND($X7&lt;&gt;"신설",N($AH7)&gt;0,N($AI7)&gt;N($AH7)),"개선 후가 지금보다 더 오래 걸림 · ",""))</f>
        <v/>
      </c>
      <c r="BC7" s="28">
        <f t="shared" si="10"/>
        <v>0.25</v>
      </c>
    </row>
    <row r="8" spans="1:55" ht="37.15" customHeight="1" x14ac:dyDescent="0.3">
      <c r="B8" s="20">
        <v>3</v>
      </c>
      <c r="C8" s="21" t="s">
        <v>118</v>
      </c>
      <c r="D8" s="21" t="s">
        <v>119</v>
      </c>
      <c r="E8" s="21" t="s">
        <v>32</v>
      </c>
      <c r="F8" s="21" t="s">
        <v>120</v>
      </c>
      <c r="G8" s="21" t="s">
        <v>121</v>
      </c>
      <c r="H8" s="21" t="s">
        <v>122</v>
      </c>
      <c r="I8" s="21" t="s">
        <v>123</v>
      </c>
      <c r="J8" s="21" t="s">
        <v>124</v>
      </c>
      <c r="K8" s="22" t="str">
        <f>IF($L8="","",$C8&amp;"-"&amp;TEXT(COUNTIFS($C$6:$C8,$C8),"00"))</f>
        <v>1.1.2.5.1-03</v>
      </c>
      <c r="L8" s="21" t="s">
        <v>980</v>
      </c>
      <c r="M8" s="23" t="s">
        <v>139</v>
      </c>
      <c r="N8" s="20" t="s">
        <v>126</v>
      </c>
      <c r="O8" s="23"/>
      <c r="P8" s="24">
        <v>15</v>
      </c>
      <c r="Q8" s="24">
        <v>1</v>
      </c>
      <c r="R8" s="24" t="s">
        <v>951</v>
      </c>
      <c r="S8" s="24">
        <v>1</v>
      </c>
      <c r="T8" s="24">
        <v>0</v>
      </c>
      <c r="U8" s="21" t="s">
        <v>140</v>
      </c>
      <c r="V8" s="21" t="s">
        <v>141</v>
      </c>
      <c r="W8" s="20" t="s">
        <v>142</v>
      </c>
      <c r="X8" s="20" t="s">
        <v>130</v>
      </c>
      <c r="Y8" s="20" t="s">
        <v>46</v>
      </c>
      <c r="Z8" s="21" t="s">
        <v>143</v>
      </c>
      <c r="AA8" s="20" t="s">
        <v>144</v>
      </c>
      <c r="AB8" s="23"/>
      <c r="AC8" s="24"/>
      <c r="AD8" s="24"/>
      <c r="AE8" s="21" t="s">
        <v>140</v>
      </c>
      <c r="AF8" s="21" t="s">
        <v>141</v>
      </c>
      <c r="AG8" s="20" t="s">
        <v>132</v>
      </c>
      <c r="AH8" s="25">
        <f>IF(OR($Q8="",$Q8=0,$P8=""),0,ROUND($P8*$Q8*IFERROR(IF($R8="건별/비정기",$T8,VLOOKUP($R8,'04.코드표'!$K$5:$L$8,2,FALSE)*$S8),0)/60,1))</f>
        <v>13</v>
      </c>
      <c r="AI8" s="25">
        <f>IF(OR($AD8="",$AD8=0,$AC8=""),0,ROUND($AC8*$AD8*IFERROR(IF($R8="건별/비정기",$T8,VLOOKUP($R8,'04.코드표'!$K$5:$L$8,2,FALSE)*$S8),0)/60,1))</f>
        <v>0</v>
      </c>
      <c r="AJ8" s="25">
        <f t="shared" si="0"/>
        <v>13</v>
      </c>
      <c r="AK8" s="26">
        <f>IF($L8="","",ROUND($AJ8/'04.코드표'!$L$11,2))</f>
        <v>0.01</v>
      </c>
      <c r="AL8" s="20" t="s">
        <v>145</v>
      </c>
      <c r="AM8" s="21" t="s">
        <v>146</v>
      </c>
      <c r="AN8" s="23"/>
      <c r="AO8" s="23"/>
      <c r="AP8" s="22">
        <f t="shared" si="1"/>
        <v>4</v>
      </c>
      <c r="AQ8" s="22" t="str">
        <f t="shared" si="2"/>
        <v>○ 좋음 (하는 일 3가지)</v>
      </c>
      <c r="AR8" s="22" t="str">
        <f t="shared" si="3"/>
        <v>⚠ 2칸 비었음</v>
      </c>
      <c r="AS8" s="27" t="str">
        <f t="shared" si="4"/>
        <v>○ 문제 없음</v>
      </c>
      <c r="AT8" s="23"/>
      <c r="AU8" s="23"/>
      <c r="AV8" s="28" t="str">
        <f t="shared" si="5"/>
        <v>선별한다</v>
      </c>
      <c r="AW8" s="28" t="str">
        <f t="shared" si="6"/>
        <v>정의된 선별 기준에 따라 수집 자료를 1차 선별한다</v>
      </c>
      <c r="AX8" s="28" t="str">
        <f t="shared" si="7"/>
        <v>기 보유 MI정보리스트 우선 검색</v>
      </c>
      <c r="AY8" s="28" t="str">
        <f>IF($L8="","",IF(SUMPRODUCT(--ISNUMBER(SEARCH({"조회","수집","추출","검색","파악","취합","조달","접수","연계","연동","선별","확보","입수","조사","식별","검출","감지","스크랩","필터링"},$AV8)))&gt;0,"조회",IF(SUMPRODUCT(--ISNUMBER(SEARCH({"검토","검증","판정","판별","확인","승인","선정","대조","점검","분류","확정","평가","판단","심사","검수","비교","결정","구분","진단","판독","협의"},$AV8)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8)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8)))&gt;0,"작성","기타")))))</f>
        <v>조회</v>
      </c>
      <c r="AZ8" s="28">
        <f t="shared" si="8"/>
        <v>3</v>
      </c>
      <c r="BA8" s="28">
        <f t="shared" si="9"/>
        <v>2</v>
      </c>
      <c r="BB8" s="28" t="str">
        <f>IF($L8="","",IF(AND($AX8&lt;&gt;"",ISNUMBER(SEARCH($AX8,$AW8))),"L5 이름을 그대로 씀 · ","")&amp;IF(AND($L8&lt;&gt;"",$L8=$Z8),"개선 후 설명이 똑같음 · ","")&amp;IF(COUNTIFS($C$6:$C$62,$C8,$L$6:$L$62,$L8)&gt;1,"같은 내용이 또 있음 · ","")&amp;IF(AND($U8&lt;&gt;"",$U8=$V8),"필요 자료와 산출물이 같음 · ","")&amp;IF(AND($C8=$C5,$V5&lt;&gt;"",$U8&lt;&gt;"",ISERROR(SEARCH(SUBSTITUTE($V5,CHAR(10)," "),SUBSTITUTE($U8,CHAR(10)," "))),ISERROR(SEARCH(SUBSTITUTE($U8,CHAR(10)," "),SUBSTITUTE($V5,CHAR(10)," ")))),"앞 산출물과 이어지지 않음 · ","")&amp;IF(SUMPRODUCT(--ISNUMBER(SEARCH({"관리한다","처리한다","수행한다","진행한다"},$AW8)))&gt;0,"뭉뚱그린 동사 · ","")&amp;IF(ISNUMBER(SEARCH("하고 ",$AW8)),"한 줄에 동작 2개 · ","")&amp;IF(RIGHT($L8,2)&lt;&gt;"한다","~한다 로 안 끝남 · ","")&amp;IF(AND($P8&lt;&gt;"",N($P8)&gt;60),"1건 60분 넘음 — 더 쪼개세요 · ","")&amp;IF(AND($AA8="AI",$AD8&lt;&gt;"",N($AD8)&gt;0),"AI 혼자 하는데 사람 인원 있음 · ","")&amp;IF(AND($AA8="AI+사람",$AD8&lt;&gt;"",N($AD8)=0),"사람이 확인한다는데 인원 0 · ","")&amp;IF(AND($X8="유지",$Y8="AI"),"그대로 두는데 AI 를 쓴다고 함 · ","")&amp;IF(AND($X8="신설",COUNT($P8,$Q8)&gt;0),"새로 생기는 일인데 현재 공수가 있음 · ","")&amp;IF(AND($X8="삭제",COUNT($AC8,$AD8)&gt;0),"없애는 일인데 개선 후 공수가 있음 · ","")&amp;IF(AND($X8&lt;&gt;"신설",N($AH8)&gt;0,N($AI8)&gt;N($AH8)),"개선 후가 지금보다 더 오래 걸림 · ",""))</f>
        <v/>
      </c>
      <c r="BC8" s="28">
        <f t="shared" si="10"/>
        <v>0.25</v>
      </c>
    </row>
    <row r="9" spans="1:55" ht="37.15" customHeight="1" x14ac:dyDescent="0.3">
      <c r="B9" s="20">
        <v>4</v>
      </c>
      <c r="C9" s="21" t="s">
        <v>118</v>
      </c>
      <c r="D9" s="21" t="s">
        <v>119</v>
      </c>
      <c r="E9" s="21" t="s">
        <v>32</v>
      </c>
      <c r="F9" s="21" t="s">
        <v>120</v>
      </c>
      <c r="G9" s="21" t="s">
        <v>121</v>
      </c>
      <c r="H9" s="21" t="s">
        <v>122</v>
      </c>
      <c r="I9" s="21" t="s">
        <v>123</v>
      </c>
      <c r="J9" s="21" t="s">
        <v>124</v>
      </c>
      <c r="K9" s="22" t="str">
        <f>IF($L9="","",$C9&amp;"-"&amp;TEXT(COUNTIFS($C$6:$C9,$C9),"00"))</f>
        <v>1.1.2.5.1-04</v>
      </c>
      <c r="L9" s="21" t="s">
        <v>147</v>
      </c>
      <c r="M9" s="23"/>
      <c r="N9" s="20" t="s">
        <v>126</v>
      </c>
      <c r="O9" s="23"/>
      <c r="P9" s="24">
        <v>5</v>
      </c>
      <c r="Q9" s="24">
        <v>1</v>
      </c>
      <c r="R9" s="24" t="s">
        <v>951</v>
      </c>
      <c r="S9" s="24">
        <v>1</v>
      </c>
      <c r="T9" s="24">
        <v>0</v>
      </c>
      <c r="U9" s="21" t="s">
        <v>148</v>
      </c>
      <c r="V9" s="21" t="s">
        <v>149</v>
      </c>
      <c r="W9" s="20" t="s">
        <v>142</v>
      </c>
      <c r="X9" s="20" t="s">
        <v>150</v>
      </c>
      <c r="Y9" s="20" t="s">
        <v>46</v>
      </c>
      <c r="Z9" s="21" t="s">
        <v>151</v>
      </c>
      <c r="AA9" s="20" t="s">
        <v>144</v>
      </c>
      <c r="AB9" s="23"/>
      <c r="AC9" s="24"/>
      <c r="AD9" s="24"/>
      <c r="AE9" s="21" t="s">
        <v>148</v>
      </c>
      <c r="AF9" s="21" t="s">
        <v>149</v>
      </c>
      <c r="AG9" s="20" t="s">
        <v>132</v>
      </c>
      <c r="AH9" s="25">
        <f>IF(OR($Q9="",$Q9=0,$P9=""),0,ROUND($P9*$Q9*IFERROR(IF($R9="건별/비정기",$T9,VLOOKUP($R9,'04.코드표'!$K$5:$L$8,2,FALSE)*$S9),0)/60,1))</f>
        <v>4.3</v>
      </c>
      <c r="AI9" s="25">
        <f>IF(OR($AD9="",$AD9=0,$AC9=""),0,ROUND($AC9*$AD9*IFERROR(IF($R9="건별/비정기",$T9,VLOOKUP($R9,'04.코드표'!$K$5:$L$8,2,FALSE)*$S9),0)/60,1))</f>
        <v>0</v>
      </c>
      <c r="AJ9" s="25">
        <f t="shared" si="0"/>
        <v>4.3</v>
      </c>
      <c r="AK9" s="26">
        <f>IF($L9="","",ROUND($AJ9/'04.코드표'!$L$11,2))</f>
        <v>0</v>
      </c>
      <c r="AL9" s="20" t="s">
        <v>152</v>
      </c>
      <c r="AM9" s="21" t="s">
        <v>153</v>
      </c>
      <c r="AN9" s="23"/>
      <c r="AO9" s="23"/>
      <c r="AP9" s="22">
        <f t="shared" si="1"/>
        <v>4</v>
      </c>
      <c r="AQ9" s="22" t="str">
        <f t="shared" si="2"/>
        <v>○ 좋음 (하는 일 3가지)</v>
      </c>
      <c r="AR9" s="22" t="str">
        <f t="shared" si="3"/>
        <v>⚠ 2칸 비었음</v>
      </c>
      <c r="AS9" s="27" t="str">
        <f t="shared" si="4"/>
        <v>⚠ 새로 생기는 일인데 현재 공수가 있음</v>
      </c>
      <c r="AT9" s="23"/>
      <c r="AU9" s="23"/>
      <c r="AV9" s="28" t="str">
        <f t="shared" si="5"/>
        <v>기록한다</v>
      </c>
      <c r="AW9" s="28" t="str">
        <f t="shared" si="6"/>
        <v>선별 결과와 채택·기각 사유를 지식 계층에 기록한다</v>
      </c>
      <c r="AX9" s="28" t="str">
        <f t="shared" si="7"/>
        <v>기 보유 MI정보리스트 우선 검색</v>
      </c>
      <c r="AY9" s="28" t="str">
        <f>IF($L9="","",IF(SUMPRODUCT(--ISNUMBER(SEARCH({"조회","수집","추출","검색","파악","취합","조달","접수","연계","연동","선별","확보","입수","조사","식별","검출","감지","스크랩","필터링"},$AV9)))&gt;0,"조회",IF(SUMPRODUCT(--ISNUMBER(SEARCH({"검토","검증","판정","판별","확인","승인","선정","대조","점검","분류","확정","평가","판단","심사","검수","비교","결정","구분","진단","판독","협의"},$AV9)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9)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9)))&gt;0,"작성","기타")))))</f>
        <v>등록</v>
      </c>
      <c r="AZ9" s="28">
        <f t="shared" si="8"/>
        <v>3</v>
      </c>
      <c r="BA9" s="28">
        <f t="shared" si="9"/>
        <v>2</v>
      </c>
      <c r="BB9" s="28" t="str">
        <f>IF($L9="","",IF(AND($AX9&lt;&gt;"",ISNUMBER(SEARCH($AX9,$AW9))),"L5 이름을 그대로 씀 · ","")&amp;IF(AND($L9&lt;&gt;"",$L9=$Z9),"개선 후 설명이 똑같음 · ","")&amp;IF(COUNTIFS($C$6:$C$62,$C9,$L$6:$L$62,$L9)&gt;1,"같은 내용이 또 있음 · ","")&amp;IF(AND($U9&lt;&gt;"",$U9=$V9),"필요 자료와 산출물이 같음 · ","")&amp;IF(AND($C9=$C5,$V5&lt;&gt;"",$U9&lt;&gt;"",ISERROR(SEARCH(SUBSTITUTE($V5,CHAR(10)," "),SUBSTITUTE($U9,CHAR(10)," "))),ISERROR(SEARCH(SUBSTITUTE($U9,CHAR(10)," "),SUBSTITUTE($V5,CHAR(10)," ")))),"앞 산출물과 이어지지 않음 · ","")&amp;IF(SUMPRODUCT(--ISNUMBER(SEARCH({"관리한다","처리한다","수행한다","진행한다"},$AW9)))&gt;0,"뭉뚱그린 동사 · ","")&amp;IF(ISNUMBER(SEARCH("하고 ",$AW9)),"한 줄에 동작 2개 · ","")&amp;IF(RIGHT($L9,2)&lt;&gt;"한다","~한다 로 안 끝남 · ","")&amp;IF(AND($P9&lt;&gt;"",N($P9)&gt;60),"1건 60분 넘음 — 더 쪼개세요 · ","")&amp;IF(AND($AA9="AI",$AD9&lt;&gt;"",N($AD9)&gt;0),"AI 혼자 하는데 사람 인원 있음 · ","")&amp;IF(AND($AA9="AI+사람",$AD9&lt;&gt;"",N($AD9)=0),"사람이 확인한다는데 인원 0 · ","")&amp;IF(AND($X9="유지",$Y9="AI"),"그대로 두는데 AI 를 쓴다고 함 · ","")&amp;IF(AND($X9="신설",COUNT($P9,$Q9)&gt;0),"새로 생기는 일인데 현재 공수가 있음 · ","")&amp;IF(AND($X9="삭제",COUNT($AC9,$AD9)&gt;0),"없애는 일인데 개선 후 공수가 있음 · ","")&amp;IF(AND($X9&lt;&gt;"신설",N($AH9)&gt;0,N($AI9)&gt;N($AH9)),"개선 후가 지금보다 더 오래 걸림 · ",""))</f>
        <v xml:space="preserve">새로 생기는 일인데 현재 공수가 있음 · </v>
      </c>
      <c r="BC9" s="28">
        <f t="shared" si="10"/>
        <v>0.25</v>
      </c>
    </row>
    <row r="10" spans="1:55" ht="21.6" customHeight="1" x14ac:dyDescent="0.3">
      <c r="B10" s="11">
        <v>5</v>
      </c>
      <c r="C10" s="11" t="s">
        <v>154</v>
      </c>
      <c r="D10" s="11" t="s">
        <v>119</v>
      </c>
      <c r="E10" s="11" t="s">
        <v>32</v>
      </c>
      <c r="F10" s="11" t="s">
        <v>120</v>
      </c>
      <c r="G10" s="11" t="s">
        <v>121</v>
      </c>
      <c r="H10" s="11" t="s">
        <v>122</v>
      </c>
      <c r="I10" s="11" t="s">
        <v>155</v>
      </c>
      <c r="J10" s="11" t="s">
        <v>156</v>
      </c>
      <c r="K10" s="22" t="str">
        <f>IF($L10="","",$C10&amp;"-"&amp;TEXT(COUNTIFS($C$6:$C10,$C10),"00"))</f>
        <v/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25">
        <f>IF(OR($Q10="",$Q10=0,$P10=""),0,ROUND($P10*$Q10*IFERROR(IF($R10="건별/비정기",$T10,VLOOKUP($R10,'04.코드표'!$K$5:$L$8,2,FALSE)*$S10),0)/60,1))</f>
        <v>0</v>
      </c>
      <c r="AI10" s="25">
        <f>IF(OR($AD10="",$AD10=0,$AC10=""),0,ROUND($AC10*$AD10*IFERROR(IF($R10="건별/비정기",$T10,VLOOKUP($R10,'04.코드표'!$K$5:$L$8,2,FALSE)*$S10),0)/60,1))</f>
        <v>0</v>
      </c>
      <c r="AJ10" s="25" t="str">
        <f t="shared" si="0"/>
        <v/>
      </c>
      <c r="AK10" s="26" t="str">
        <f>IF($L10="","",ROUND($AJ10/'04.코드표'!$L$11,2))</f>
        <v/>
      </c>
      <c r="AL10" s="11"/>
      <c r="AM10" s="11"/>
      <c r="AN10" s="11"/>
      <c r="AO10" s="11"/>
      <c r="AP10" s="22" t="str">
        <f t="shared" si="1"/>
        <v/>
      </c>
      <c r="AQ10" s="22" t="str">
        <f t="shared" si="2"/>
        <v/>
      </c>
      <c r="AR10" s="22" t="str">
        <f t="shared" si="3"/>
        <v/>
      </c>
      <c r="AS10" s="27" t="str">
        <f t="shared" si="4"/>
        <v/>
      </c>
      <c r="AT10" s="11"/>
      <c r="AU10" s="11"/>
      <c r="AV10" s="28" t="str">
        <f t="shared" si="5"/>
        <v/>
      </c>
      <c r="AW10" s="28" t="str">
        <f t="shared" si="6"/>
        <v/>
      </c>
      <c r="AX10" s="28" t="str">
        <f t="shared" si="7"/>
        <v>MI 시스템에 조사 보고서 등록</v>
      </c>
      <c r="AY10" s="28" t="str">
        <f>IF($L10="","",IF(SUMPRODUCT(--ISNUMBER(SEARCH({"조회","수집","추출","검색","파악","취합","조달","접수","연계","연동","선별","확보","입수","조사","식별","검출","감지","스크랩","필터링"},$AV10)))&gt;0,"조회",IF(SUMPRODUCT(--ISNUMBER(SEARCH({"검토","검증","판정","판별","확인","승인","선정","대조","점검","분류","확정","평가","판단","심사","검수","비교","결정","구분","진단","판독","협의"},$AV10)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10)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10)))&gt;0,"작성","기타")))))</f>
        <v/>
      </c>
      <c r="AZ10" s="28" t="str">
        <f t="shared" si="8"/>
        <v/>
      </c>
      <c r="BA10" s="28">
        <f t="shared" si="9"/>
        <v>0</v>
      </c>
      <c r="BB10" s="28" t="str">
        <f>IF($L10="","",IF(AND($AX10&lt;&gt;"",ISNUMBER(SEARCH($AX10,$AW10))),"L5 이름을 그대로 씀 · ","")&amp;IF(AND($L10&lt;&gt;"",$L10=$Z10),"개선 후 설명이 똑같음 · ","")&amp;IF(COUNTIFS($C$6:$C$62,$C10,$L$6:$L$62,$L10)&gt;1,"같은 내용이 또 있음 · ","")&amp;IF(AND($U10&lt;&gt;"",$U10=$V10),"필요 자료와 산출물이 같음 · ","")&amp;IF(AND($C10=$C5,$V5&lt;&gt;"",$U10&lt;&gt;"",ISERROR(SEARCH(SUBSTITUTE($V5,CHAR(10)," "),SUBSTITUTE($U10,CHAR(10)," "))),ISERROR(SEARCH(SUBSTITUTE($U10,CHAR(10)," "),SUBSTITUTE($V5,CHAR(10)," ")))),"앞 산출물과 이어지지 않음 · ","")&amp;IF(SUMPRODUCT(--ISNUMBER(SEARCH({"관리한다","처리한다","수행한다","진행한다"},$AW10)))&gt;0,"뭉뚱그린 동사 · ","")&amp;IF(ISNUMBER(SEARCH("하고 ",$AW10)),"한 줄에 동작 2개 · ","")&amp;IF(RIGHT($L10,2)&lt;&gt;"한다","~한다 로 안 끝남 · ","")&amp;IF(AND($P10&lt;&gt;"",N($P10)&gt;60),"1건 60분 넘음 — 더 쪼개세요 · ","")&amp;IF(AND($AA10="AI",$AD10&lt;&gt;"",N($AD10)&gt;0),"AI 혼자 하는데 사람 인원 있음 · ","")&amp;IF(AND($AA10="AI+사람",$AD10&lt;&gt;"",N($AD10)=0),"사람이 확인한다는데 인원 0 · ","")&amp;IF(AND($X10="유지",$Y10="AI"),"그대로 두는데 AI 를 쓴다고 함 · ","")&amp;IF(AND($X10="신설",COUNT($P10,$Q10)&gt;0),"새로 생기는 일인데 현재 공수가 있음 · ","")&amp;IF(AND($X10="삭제",COUNT($AC10,$AD10)&gt;0),"없애는 일인데 개선 후 공수가 있음 · ","")&amp;IF(AND($X10&lt;&gt;"신설",N($AH10)&gt;0,N($AI10)&gt;N($AH10)),"개선 후가 지금보다 더 오래 걸림 · ",""))</f>
        <v/>
      </c>
      <c r="BC10" s="28">
        <f t="shared" si="10"/>
        <v>0</v>
      </c>
    </row>
    <row r="11" spans="1:55" ht="21.6" customHeight="1" x14ac:dyDescent="0.3">
      <c r="B11" s="11">
        <v>6</v>
      </c>
      <c r="C11" s="11" t="s">
        <v>157</v>
      </c>
      <c r="D11" s="11" t="s">
        <v>119</v>
      </c>
      <c r="E11" s="11" t="s">
        <v>32</v>
      </c>
      <c r="F11" s="11" t="s">
        <v>120</v>
      </c>
      <c r="G11" s="11" t="s">
        <v>121</v>
      </c>
      <c r="H11" s="11" t="s">
        <v>122</v>
      </c>
      <c r="I11" s="11" t="s">
        <v>158</v>
      </c>
      <c r="J11" s="11" t="s">
        <v>158</v>
      </c>
      <c r="K11" s="22" t="str">
        <f>IF($L11="","",$C11&amp;"-"&amp;TEXT(COUNTIFS($C$6:$C11,$C11),"00"))</f>
        <v/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25">
        <f>IF(OR($Q11="",$Q11=0,$P11=""),0,ROUND($P11*$Q11*IFERROR(IF($R11="건별/비정기",$T11,VLOOKUP($R11,'04.코드표'!$K$5:$L$8,2,FALSE)*$S11),0)/60,1))</f>
        <v>0</v>
      </c>
      <c r="AI11" s="25">
        <f>IF(OR($AD11="",$AD11=0,$AC11=""),0,ROUND($AC11*$AD11*IFERROR(IF($R11="건별/비정기",$T11,VLOOKUP($R11,'04.코드표'!$K$5:$L$8,2,FALSE)*$S11),0)/60,1))</f>
        <v>0</v>
      </c>
      <c r="AJ11" s="25" t="str">
        <f t="shared" si="0"/>
        <v/>
      </c>
      <c r="AK11" s="26" t="str">
        <f>IF($L11="","",ROUND($AJ11/'04.코드표'!$L$11,2))</f>
        <v/>
      </c>
      <c r="AL11" s="11"/>
      <c r="AM11" s="11"/>
      <c r="AN11" s="11"/>
      <c r="AO11" s="11"/>
      <c r="AP11" s="22" t="str">
        <f t="shared" si="1"/>
        <v/>
      </c>
      <c r="AQ11" s="22" t="str">
        <f t="shared" si="2"/>
        <v/>
      </c>
      <c r="AR11" s="22" t="str">
        <f t="shared" si="3"/>
        <v/>
      </c>
      <c r="AS11" s="27" t="str">
        <f t="shared" si="4"/>
        <v/>
      </c>
      <c r="AT11" s="11"/>
      <c r="AU11" s="11"/>
      <c r="AV11" s="28" t="str">
        <f t="shared" si="5"/>
        <v/>
      </c>
      <c r="AW11" s="28" t="str">
        <f t="shared" si="6"/>
        <v/>
      </c>
      <c r="AX11" s="28" t="str">
        <f t="shared" si="7"/>
        <v>자료/데이터 요청</v>
      </c>
      <c r="AY11" s="28" t="str">
        <f>IF($L11="","",IF(SUMPRODUCT(--ISNUMBER(SEARCH({"조회","수집","추출","검색","파악","취합","조달","접수","연계","연동","선별","확보","입수","조사","식별","검출","감지","스크랩","필터링"},$AV11)))&gt;0,"조회",IF(SUMPRODUCT(--ISNUMBER(SEARCH({"검토","검증","판정","판별","확인","승인","선정","대조","점검","분류","확정","평가","판단","심사","검수","비교","결정","구분","진단","판독","협의"},$AV11)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11)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11)))&gt;0,"작성","기타")))))</f>
        <v/>
      </c>
      <c r="AZ11" s="28" t="str">
        <f t="shared" si="8"/>
        <v/>
      </c>
      <c r="BA11" s="28">
        <f t="shared" si="9"/>
        <v>0</v>
      </c>
      <c r="BB11" s="28" t="str">
        <f>IF($L11="","",IF(AND($AX11&lt;&gt;"",ISNUMBER(SEARCH($AX11,$AW11))),"L5 이름을 그대로 씀 · ","")&amp;IF(AND($L11&lt;&gt;"",$L11=$Z11),"개선 후 설명이 똑같음 · ","")&amp;IF(COUNTIFS($C$6:$C$62,$C11,$L$6:$L$62,$L11)&gt;1,"같은 내용이 또 있음 · ","")&amp;IF(AND($U11&lt;&gt;"",$U11=$V11),"필요 자료와 산출물이 같음 · ","")&amp;IF(AND($C11=$C5,$V5&lt;&gt;"",$U11&lt;&gt;"",ISERROR(SEARCH(SUBSTITUTE($V5,CHAR(10)," "),SUBSTITUTE($U11,CHAR(10)," "))),ISERROR(SEARCH(SUBSTITUTE($U11,CHAR(10)," "),SUBSTITUTE($V5,CHAR(10)," ")))),"앞 산출물과 이어지지 않음 · ","")&amp;IF(SUMPRODUCT(--ISNUMBER(SEARCH({"관리한다","처리한다","수행한다","진행한다"},$AW11)))&gt;0,"뭉뚱그린 동사 · ","")&amp;IF(ISNUMBER(SEARCH("하고 ",$AW11)),"한 줄에 동작 2개 · ","")&amp;IF(RIGHT($L11,2)&lt;&gt;"한다","~한다 로 안 끝남 · ","")&amp;IF(AND($P11&lt;&gt;"",N($P11)&gt;60),"1건 60분 넘음 — 더 쪼개세요 · ","")&amp;IF(AND($AA11="AI",$AD11&lt;&gt;"",N($AD11)&gt;0),"AI 혼자 하는데 사람 인원 있음 · ","")&amp;IF(AND($AA11="AI+사람",$AD11&lt;&gt;"",N($AD11)=0),"사람이 확인한다는데 인원 0 · ","")&amp;IF(AND($X11="유지",$Y11="AI"),"그대로 두는데 AI 를 쓴다고 함 · ","")&amp;IF(AND($X11="신설",COUNT($P11,$Q11)&gt;0),"새로 생기는 일인데 현재 공수가 있음 · ","")&amp;IF(AND($X11="삭제",COUNT($AC11,$AD11)&gt;0),"없애는 일인데 개선 후 공수가 있음 · ","")&amp;IF(AND($X11&lt;&gt;"신설",N($AH11)&gt;0,N($AI11)&gt;N($AH11)),"개선 후가 지금보다 더 오래 걸림 · ",""))</f>
        <v/>
      </c>
      <c r="BC11" s="28">
        <f t="shared" si="10"/>
        <v>0</v>
      </c>
    </row>
    <row r="12" spans="1:55" ht="37.15" customHeight="1" x14ac:dyDescent="0.3">
      <c r="B12" s="20">
        <v>7</v>
      </c>
      <c r="C12" s="21" t="s">
        <v>159</v>
      </c>
      <c r="D12" s="21" t="s">
        <v>119</v>
      </c>
      <c r="E12" s="21" t="s">
        <v>32</v>
      </c>
      <c r="F12" s="21" t="s">
        <v>120</v>
      </c>
      <c r="G12" s="21" t="s">
        <v>121</v>
      </c>
      <c r="H12" s="21" t="s">
        <v>160</v>
      </c>
      <c r="I12" s="21" t="s">
        <v>161</v>
      </c>
      <c r="J12" s="21" t="s">
        <v>161</v>
      </c>
      <c r="K12" s="22" t="str">
        <f>IF($L12="","",$C12&amp;"-"&amp;TEXT(COUNTIFS($C$6:$C12,$C12),"00"))</f>
        <v>1.1.3.4.1-01</v>
      </c>
      <c r="L12" s="21" t="s">
        <v>162</v>
      </c>
      <c r="M12" s="23"/>
      <c r="N12" s="20" t="s">
        <v>126</v>
      </c>
      <c r="O12" s="23"/>
      <c r="P12" s="24">
        <v>25</v>
      </c>
      <c r="Q12" s="24">
        <v>1</v>
      </c>
      <c r="R12" s="24" t="s">
        <v>945</v>
      </c>
      <c r="S12" s="24">
        <v>1</v>
      </c>
      <c r="T12" s="24">
        <v>0</v>
      </c>
      <c r="U12" s="21" t="s">
        <v>163</v>
      </c>
      <c r="V12" s="21" t="s">
        <v>164</v>
      </c>
      <c r="W12" s="20" t="s">
        <v>129</v>
      </c>
      <c r="X12" s="20" t="s">
        <v>130</v>
      </c>
      <c r="Y12" s="20" t="s">
        <v>46</v>
      </c>
      <c r="Z12" s="21" t="s">
        <v>165</v>
      </c>
      <c r="AA12" s="20" t="s">
        <v>46</v>
      </c>
      <c r="AB12" s="23"/>
      <c r="AC12" s="24"/>
      <c r="AD12" s="24"/>
      <c r="AE12" s="21" t="s">
        <v>163</v>
      </c>
      <c r="AF12" s="21" t="s">
        <v>164</v>
      </c>
      <c r="AG12" s="20" t="s">
        <v>132</v>
      </c>
      <c r="AH12" s="25">
        <f>IF(OR($Q12="",$Q12=0,$P12=""),0,ROUND($P12*$Q12*IFERROR(IF($R12="건별/비정기",$T12,VLOOKUP($R12,'04.코드표'!$K$5:$L$8,2,FALSE)*$S12),0)/60,1))</f>
        <v>104.2</v>
      </c>
      <c r="AI12" s="25">
        <f>IF(OR($AD12="",$AD12=0,$AC12=""),0,ROUND($AC12*$AD12*IFERROR(IF($R12="건별/비정기",$T12,VLOOKUP($R12,'04.코드표'!$K$5:$L$8,2,FALSE)*$S12),0)/60,1))</f>
        <v>0</v>
      </c>
      <c r="AJ12" s="25">
        <f t="shared" si="0"/>
        <v>104.2</v>
      </c>
      <c r="AK12" s="26">
        <f>IF($L12="","",ROUND($AJ12/'04.코드표'!$L$11,2))</f>
        <v>0.05</v>
      </c>
      <c r="AL12" s="20" t="s">
        <v>133</v>
      </c>
      <c r="AM12" s="21" t="s">
        <v>166</v>
      </c>
      <c r="AN12" s="23"/>
      <c r="AO12" s="23"/>
      <c r="AP12" s="22">
        <f t="shared" si="1"/>
        <v>4</v>
      </c>
      <c r="AQ12" s="22" t="str">
        <f t="shared" si="2"/>
        <v>○ 좋음 (하는 일 3가지)</v>
      </c>
      <c r="AR12" s="22" t="str">
        <f t="shared" si="3"/>
        <v>⚠ 2칸 비었음</v>
      </c>
      <c r="AS12" s="27" t="str">
        <f t="shared" si="4"/>
        <v>○ 문제 없음</v>
      </c>
      <c r="AT12" s="23"/>
      <c r="AU12" s="23"/>
      <c r="AV12" s="28" t="str">
        <f t="shared" si="5"/>
        <v>추출한다</v>
      </c>
      <c r="AW12" s="28" t="str">
        <f t="shared" si="6"/>
        <v>수집·선별된 자료에서 기술 환경 관련 정보를 추출한다</v>
      </c>
      <c r="AX12" s="28" t="str">
        <f t="shared" si="7"/>
        <v>기술 환경 분석</v>
      </c>
      <c r="AY12" s="28" t="str">
        <f>IF($L12="","",IF(SUMPRODUCT(--ISNUMBER(SEARCH({"조회","수집","추출","검색","파악","취합","조달","접수","연계","연동","선별","확보","입수","조사","식별","검출","감지","스크랩","필터링"},$AV12)))&gt;0,"조회",IF(SUMPRODUCT(--ISNUMBER(SEARCH({"검토","검증","판정","판별","확인","승인","선정","대조","점검","분류","확정","평가","판단","심사","검수","비교","결정","구분","진단","판독","협의"},$AV12)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12)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12)))&gt;0,"작성","기타")))))</f>
        <v>조회</v>
      </c>
      <c r="AZ12" s="28">
        <f t="shared" si="8"/>
        <v>3</v>
      </c>
      <c r="BA12" s="28">
        <f t="shared" si="9"/>
        <v>2</v>
      </c>
      <c r="BB12" s="28" t="str">
        <f>IF($L12="","",IF(AND($AX12&lt;&gt;"",ISNUMBER(SEARCH($AX12,$AW12))),"L5 이름을 그대로 씀 · ","")&amp;IF(AND($L12&lt;&gt;"",$L12=$Z12),"개선 후 설명이 똑같음 · ","")&amp;IF(COUNTIFS($C$6:$C$62,$C12,$L$6:$L$62,$L12)&gt;1,"같은 내용이 또 있음 · ","")&amp;IF(AND($U12&lt;&gt;"",$U12=$V12),"필요 자료와 산출물이 같음 · ","")&amp;IF(AND($C12=$C5,$V5&lt;&gt;"",$U12&lt;&gt;"",ISERROR(SEARCH(SUBSTITUTE($V5,CHAR(10)," "),SUBSTITUTE($U12,CHAR(10)," "))),ISERROR(SEARCH(SUBSTITUTE($U12,CHAR(10)," "),SUBSTITUTE($V5,CHAR(10)," ")))),"앞 산출물과 이어지지 않음 · ","")&amp;IF(SUMPRODUCT(--ISNUMBER(SEARCH({"관리한다","처리한다","수행한다","진행한다"},$AW12)))&gt;0,"뭉뚱그린 동사 · ","")&amp;IF(ISNUMBER(SEARCH("하고 ",$AW12)),"한 줄에 동작 2개 · ","")&amp;IF(RIGHT($L12,2)&lt;&gt;"한다","~한다 로 안 끝남 · ","")&amp;IF(AND($P12&lt;&gt;"",N($P12)&gt;60),"1건 60분 넘음 — 더 쪼개세요 · ","")&amp;IF(AND($AA12="AI",$AD12&lt;&gt;"",N($AD12)&gt;0),"AI 혼자 하는데 사람 인원 있음 · ","")&amp;IF(AND($AA12="AI+사람",$AD12&lt;&gt;"",N($AD12)=0),"사람이 확인한다는데 인원 0 · ","")&amp;IF(AND($X12="유지",$Y12="AI"),"그대로 두는데 AI 를 쓴다고 함 · ","")&amp;IF(AND($X12="신설",COUNT($P12,$Q12)&gt;0),"새로 생기는 일인데 현재 공수가 있음 · ","")&amp;IF(AND($X12="삭제",COUNT($AC12,$AD12)&gt;0),"없애는 일인데 개선 후 공수가 있음 · ","")&amp;IF(AND($X12&lt;&gt;"신설",N($AH12)&gt;0,N($AI12)&gt;N($AH12)),"개선 후가 지금보다 더 오래 걸림 · ",""))</f>
        <v/>
      </c>
      <c r="BC12" s="28">
        <f t="shared" si="10"/>
        <v>0.25</v>
      </c>
    </row>
    <row r="13" spans="1:55" ht="37.15" customHeight="1" x14ac:dyDescent="0.3">
      <c r="B13" s="20">
        <v>8</v>
      </c>
      <c r="C13" s="21" t="s">
        <v>159</v>
      </c>
      <c r="D13" s="21" t="s">
        <v>119</v>
      </c>
      <c r="E13" s="21" t="s">
        <v>32</v>
      </c>
      <c r="F13" s="21" t="s">
        <v>120</v>
      </c>
      <c r="G13" s="21" t="s">
        <v>121</v>
      </c>
      <c r="H13" s="21" t="s">
        <v>160</v>
      </c>
      <c r="I13" s="21" t="s">
        <v>161</v>
      </c>
      <c r="J13" s="21" t="s">
        <v>161</v>
      </c>
      <c r="K13" s="22" t="str">
        <f>IF($L13="","",$C13&amp;"-"&amp;TEXT(COUNTIFS($C$6:$C13,$C13),"00"))</f>
        <v>1.1.3.4.1-02</v>
      </c>
      <c r="L13" s="21" t="s">
        <v>167</v>
      </c>
      <c r="M13" s="23"/>
      <c r="N13" s="20" t="s">
        <v>126</v>
      </c>
      <c r="O13" s="23"/>
      <c r="P13" s="24">
        <v>5</v>
      </c>
      <c r="Q13" s="24">
        <v>1</v>
      </c>
      <c r="R13" s="24" t="s">
        <v>945</v>
      </c>
      <c r="S13" s="24">
        <v>1</v>
      </c>
      <c r="T13" s="24">
        <v>0</v>
      </c>
      <c r="U13" s="21" t="s">
        <v>164</v>
      </c>
      <c r="V13" s="21" t="s">
        <v>168</v>
      </c>
      <c r="W13" s="20" t="s">
        <v>142</v>
      </c>
      <c r="X13" s="20" t="s">
        <v>130</v>
      </c>
      <c r="Y13" s="20" t="s">
        <v>46</v>
      </c>
      <c r="Z13" s="21" t="s">
        <v>169</v>
      </c>
      <c r="AA13" s="20" t="s">
        <v>144</v>
      </c>
      <c r="AB13" s="23"/>
      <c r="AC13" s="24"/>
      <c r="AD13" s="24"/>
      <c r="AE13" s="21" t="s">
        <v>164</v>
      </c>
      <c r="AF13" s="21" t="s">
        <v>168</v>
      </c>
      <c r="AG13" s="20" t="s">
        <v>132</v>
      </c>
      <c r="AH13" s="25">
        <f>IF(OR($Q13="",$Q13=0,$P13=""),0,ROUND($P13*$Q13*IFERROR(IF($R13="건별/비정기",$T13,VLOOKUP($R13,'04.코드표'!$K$5:$L$8,2,FALSE)*$S13),0)/60,1))</f>
        <v>20.8</v>
      </c>
      <c r="AI13" s="25">
        <f>IF(OR($AD13="",$AD13=0,$AC13=""),0,ROUND($AC13*$AD13*IFERROR(IF($R13="건별/비정기",$T13,VLOOKUP($R13,'04.코드표'!$K$5:$L$8,2,FALSE)*$S13),0)/60,1))</f>
        <v>0</v>
      </c>
      <c r="AJ13" s="25">
        <f t="shared" si="0"/>
        <v>20.8</v>
      </c>
      <c r="AK13" s="26">
        <f>IF($L13="","",ROUND($AJ13/'04.코드표'!$L$11,2))</f>
        <v>0.01</v>
      </c>
      <c r="AL13" s="20" t="s">
        <v>145</v>
      </c>
      <c r="AM13" s="21" t="s">
        <v>170</v>
      </c>
      <c r="AN13" s="23"/>
      <c r="AO13" s="23"/>
      <c r="AP13" s="22">
        <f t="shared" si="1"/>
        <v>4</v>
      </c>
      <c r="AQ13" s="22" t="str">
        <f t="shared" si="2"/>
        <v>○ 좋음 (하는 일 3가지)</v>
      </c>
      <c r="AR13" s="22" t="str">
        <f t="shared" si="3"/>
        <v>⚠ 2칸 비었음</v>
      </c>
      <c r="AS13" s="27" t="str">
        <f t="shared" si="4"/>
        <v>○ 문제 없음</v>
      </c>
      <c r="AT13" s="23"/>
      <c r="AU13" s="23"/>
      <c r="AV13" s="28" t="str">
        <f t="shared" si="5"/>
        <v>분석한다</v>
      </c>
      <c r="AW13" s="28" t="str">
        <f t="shared" si="6"/>
        <v>외부 기술 변화가 내부 기술 역량과 시스템에 미치는 영향을 분석한다</v>
      </c>
      <c r="AX13" s="28" t="str">
        <f t="shared" si="7"/>
        <v>기술 환경 분석</v>
      </c>
      <c r="AY13" s="28" t="str">
        <f>IF($L13="","",IF(SUMPRODUCT(--ISNUMBER(SEARCH({"조회","수집","추출","검색","파악","취합","조달","접수","연계","연동","선별","확보","입수","조사","식별","검출","감지","스크랩","필터링"},$AV13)))&gt;0,"조회",IF(SUMPRODUCT(--ISNUMBER(SEARCH({"검토","검증","판정","판별","확인","승인","선정","대조","점검","분류","확정","평가","판단","심사","검수","비교","결정","구분","진단","판독","협의"},$AV13)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13)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13)))&gt;0,"작성","기타")))))</f>
        <v>작성</v>
      </c>
      <c r="AZ13" s="28">
        <f t="shared" si="8"/>
        <v>3</v>
      </c>
      <c r="BA13" s="28">
        <f t="shared" si="9"/>
        <v>2</v>
      </c>
      <c r="BB13" s="28" t="str">
        <f>IF($L13="","",IF(AND($AX13&lt;&gt;"",ISNUMBER(SEARCH($AX13,$AW13))),"L5 이름을 그대로 씀 · ","")&amp;IF(AND($L13&lt;&gt;"",$L13=$Z13),"개선 후 설명이 똑같음 · ","")&amp;IF(COUNTIFS($C$6:$C$62,$C13,$L$6:$L$62,$L13)&gt;1,"같은 내용이 또 있음 · ","")&amp;IF(AND($U13&lt;&gt;"",$U13=$V13),"필요 자료와 산출물이 같음 · ","")&amp;IF(AND($C13=$C5,$V5&lt;&gt;"",$U13&lt;&gt;"",ISERROR(SEARCH(SUBSTITUTE($V5,CHAR(10)," "),SUBSTITUTE($U13,CHAR(10)," "))),ISERROR(SEARCH(SUBSTITUTE($U13,CHAR(10)," "),SUBSTITUTE($V5,CHAR(10)," ")))),"앞 산출물과 이어지지 않음 · ","")&amp;IF(SUMPRODUCT(--ISNUMBER(SEARCH({"관리한다","처리한다","수행한다","진행한다"},$AW13)))&gt;0,"뭉뚱그린 동사 · ","")&amp;IF(ISNUMBER(SEARCH("하고 ",$AW13)),"한 줄에 동작 2개 · ","")&amp;IF(RIGHT($L13,2)&lt;&gt;"한다","~한다 로 안 끝남 · ","")&amp;IF(AND($P13&lt;&gt;"",N($P13)&gt;60),"1건 60분 넘음 — 더 쪼개세요 · ","")&amp;IF(AND($AA13="AI",$AD13&lt;&gt;"",N($AD13)&gt;0),"AI 혼자 하는데 사람 인원 있음 · ","")&amp;IF(AND($AA13="AI+사람",$AD13&lt;&gt;"",N($AD13)=0),"사람이 확인한다는데 인원 0 · ","")&amp;IF(AND($X13="유지",$Y13="AI"),"그대로 두는데 AI 를 쓴다고 함 · ","")&amp;IF(AND($X13="신설",COUNT($P13,$Q13)&gt;0),"새로 생기는 일인데 현재 공수가 있음 · ","")&amp;IF(AND($X13="삭제",COUNT($AC13,$AD13)&gt;0),"없애는 일인데 개선 후 공수가 있음 · ","")&amp;IF(AND($X13&lt;&gt;"신설",N($AH13)&gt;0,N($AI13)&gt;N($AH13)),"개선 후가 지금보다 더 오래 걸림 · ",""))</f>
        <v/>
      </c>
      <c r="BC13" s="28">
        <f t="shared" si="10"/>
        <v>0.25</v>
      </c>
    </row>
    <row r="14" spans="1:55" ht="37.15" customHeight="1" x14ac:dyDescent="0.3">
      <c r="B14" s="20">
        <v>9</v>
      </c>
      <c r="C14" s="21" t="s">
        <v>159</v>
      </c>
      <c r="D14" s="21" t="s">
        <v>119</v>
      </c>
      <c r="E14" s="21" t="s">
        <v>32</v>
      </c>
      <c r="F14" s="21" t="s">
        <v>120</v>
      </c>
      <c r="G14" s="21" t="s">
        <v>121</v>
      </c>
      <c r="H14" s="21" t="s">
        <v>160</v>
      </c>
      <c r="I14" s="21" t="s">
        <v>161</v>
      </c>
      <c r="J14" s="21" t="s">
        <v>161</v>
      </c>
      <c r="K14" s="22" t="str">
        <f>IF($L14="","",$C14&amp;"-"&amp;TEXT(COUNTIFS($C$6:$C14,$C14),"00"))</f>
        <v>1.1.3.4.1-03</v>
      </c>
      <c r="L14" s="21" t="s">
        <v>171</v>
      </c>
      <c r="M14" s="23"/>
      <c r="N14" s="20" t="s">
        <v>126</v>
      </c>
      <c r="O14" s="23"/>
      <c r="P14" s="24">
        <v>15</v>
      </c>
      <c r="Q14" s="24">
        <v>1</v>
      </c>
      <c r="R14" s="24" t="s">
        <v>951</v>
      </c>
      <c r="S14" s="24">
        <v>1</v>
      </c>
      <c r="T14" s="24">
        <v>0</v>
      </c>
      <c r="U14" s="21" t="s">
        <v>172</v>
      </c>
      <c r="V14" s="21" t="s">
        <v>173</v>
      </c>
      <c r="W14" s="20" t="s">
        <v>142</v>
      </c>
      <c r="X14" s="20" t="s">
        <v>130</v>
      </c>
      <c r="Y14" s="20" t="s">
        <v>46</v>
      </c>
      <c r="Z14" s="21" t="s">
        <v>174</v>
      </c>
      <c r="AA14" s="20" t="s">
        <v>46</v>
      </c>
      <c r="AB14" s="23"/>
      <c r="AC14" s="24"/>
      <c r="AD14" s="24"/>
      <c r="AE14" s="21" t="s">
        <v>172</v>
      </c>
      <c r="AF14" s="21" t="s">
        <v>173</v>
      </c>
      <c r="AG14" s="20" t="s">
        <v>132</v>
      </c>
      <c r="AH14" s="25">
        <f>IF(OR($Q14="",$Q14=0,$P14=""),0,ROUND($P14*$Q14*IFERROR(IF($R14="건별/비정기",$T14,VLOOKUP($R14,'04.코드표'!$K$5:$L$8,2,FALSE)*$S14),0)/60,1))</f>
        <v>13</v>
      </c>
      <c r="AI14" s="25">
        <f>IF(OR($AD14="",$AD14=0,$AC14=""),0,ROUND($AC14*$AD14*IFERROR(IF($R14="건별/비정기",$T14,VLOOKUP($R14,'04.코드표'!$K$5:$L$8,2,FALSE)*$S14),0)/60,1))</f>
        <v>0</v>
      </c>
      <c r="AJ14" s="25">
        <f t="shared" si="0"/>
        <v>13</v>
      </c>
      <c r="AK14" s="26">
        <f>IF($L14="","",ROUND($AJ14/'04.코드표'!$L$11,2))</f>
        <v>0.01</v>
      </c>
      <c r="AL14" s="20" t="s">
        <v>133</v>
      </c>
      <c r="AM14" s="21" t="s">
        <v>175</v>
      </c>
      <c r="AN14" s="23"/>
      <c r="AO14" s="23"/>
      <c r="AP14" s="22">
        <f t="shared" si="1"/>
        <v>4</v>
      </c>
      <c r="AQ14" s="22" t="str">
        <f t="shared" si="2"/>
        <v>○ 좋음 (하는 일 3가지)</v>
      </c>
      <c r="AR14" s="22" t="str">
        <f t="shared" si="3"/>
        <v>⚠ 2칸 비었음</v>
      </c>
      <c r="AS14" s="27" t="str">
        <f t="shared" si="4"/>
        <v>○ 문제 없음</v>
      </c>
      <c r="AT14" s="23"/>
      <c r="AU14" s="23"/>
      <c r="AV14" s="28" t="str">
        <f t="shared" si="5"/>
        <v>시각화한다</v>
      </c>
      <c r="AW14" s="28" t="str">
        <f t="shared" si="6"/>
        <v>분석에 필요한 통계 수치를 표·이미지로 시각화한다</v>
      </c>
      <c r="AX14" s="28" t="str">
        <f t="shared" si="7"/>
        <v>기술 환경 분석</v>
      </c>
      <c r="AY14" s="28" t="str">
        <f>IF($L14="","",IF(SUMPRODUCT(--ISNUMBER(SEARCH({"조회","수집","추출","검색","파악","취합","조달","접수","연계","연동","선별","확보","입수","조사","식별","검출","감지","스크랩","필터링"},$AV14)))&gt;0,"조회",IF(SUMPRODUCT(--ISNUMBER(SEARCH({"검토","검증","판정","판별","확인","승인","선정","대조","점검","분류","확정","평가","판단","심사","검수","비교","결정","구분","진단","판독","협의"},$AV14)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14)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14)))&gt;0,"작성","기타")))))</f>
        <v>작성</v>
      </c>
      <c r="AZ14" s="28">
        <f t="shared" si="8"/>
        <v>3</v>
      </c>
      <c r="BA14" s="28">
        <f t="shared" si="9"/>
        <v>2</v>
      </c>
      <c r="BB14" s="28" t="str">
        <f>IF($L14="","",IF(AND($AX14&lt;&gt;"",ISNUMBER(SEARCH($AX14,$AW14))),"L5 이름을 그대로 씀 · ","")&amp;IF(AND($L14&lt;&gt;"",$L14=$Z14),"개선 후 설명이 똑같음 · ","")&amp;IF(COUNTIFS($C$6:$C$62,$C14,$L$6:$L$62,$L14)&gt;1,"같은 내용이 또 있음 · ","")&amp;IF(AND($U14&lt;&gt;"",$U14=$V14),"필요 자료와 산출물이 같음 · ","")&amp;IF(AND($C14=$C5,$V5&lt;&gt;"",$U14&lt;&gt;"",ISERROR(SEARCH(SUBSTITUTE($V5,CHAR(10)," "),SUBSTITUTE($U14,CHAR(10)," "))),ISERROR(SEARCH(SUBSTITUTE($U14,CHAR(10)," "),SUBSTITUTE($V5,CHAR(10)," ")))),"앞 산출물과 이어지지 않음 · ","")&amp;IF(SUMPRODUCT(--ISNUMBER(SEARCH({"관리한다","처리한다","수행한다","진행한다"},$AW14)))&gt;0,"뭉뚱그린 동사 · ","")&amp;IF(ISNUMBER(SEARCH("하고 ",$AW14)),"한 줄에 동작 2개 · ","")&amp;IF(RIGHT($L14,2)&lt;&gt;"한다","~한다 로 안 끝남 · ","")&amp;IF(AND($P14&lt;&gt;"",N($P14)&gt;60),"1건 60분 넘음 — 더 쪼개세요 · ","")&amp;IF(AND($AA14="AI",$AD14&lt;&gt;"",N($AD14)&gt;0),"AI 혼자 하는데 사람 인원 있음 · ","")&amp;IF(AND($AA14="AI+사람",$AD14&lt;&gt;"",N($AD14)=0),"사람이 확인한다는데 인원 0 · ","")&amp;IF(AND($X14="유지",$Y14="AI"),"그대로 두는데 AI 를 쓴다고 함 · ","")&amp;IF(AND($X14="신설",COUNT($P14,$Q14)&gt;0),"새로 생기는 일인데 현재 공수가 있음 · ","")&amp;IF(AND($X14="삭제",COUNT($AC14,$AD14)&gt;0),"없애는 일인데 개선 후 공수가 있음 · ","")&amp;IF(AND($X14&lt;&gt;"신설",N($AH14)&gt;0,N($AI14)&gt;N($AH14)),"개선 후가 지금보다 더 오래 걸림 · ",""))</f>
        <v/>
      </c>
      <c r="BC14" s="28">
        <f t="shared" si="10"/>
        <v>0.25</v>
      </c>
    </row>
    <row r="15" spans="1:55" ht="37.15" customHeight="1" x14ac:dyDescent="0.3">
      <c r="B15" s="20">
        <v>10</v>
      </c>
      <c r="C15" s="21" t="s">
        <v>159</v>
      </c>
      <c r="D15" s="21" t="s">
        <v>119</v>
      </c>
      <c r="E15" s="21" t="s">
        <v>32</v>
      </c>
      <c r="F15" s="21" t="s">
        <v>120</v>
      </c>
      <c r="G15" s="21" t="s">
        <v>121</v>
      </c>
      <c r="H15" s="21" t="s">
        <v>160</v>
      </c>
      <c r="I15" s="21" t="s">
        <v>161</v>
      </c>
      <c r="J15" s="21" t="s">
        <v>161</v>
      </c>
      <c r="K15" s="22" t="str">
        <f>IF($L15="","",$C15&amp;"-"&amp;TEXT(COUNTIFS($C$6:$C15,$C15),"00"))</f>
        <v>1.1.3.4.1-04</v>
      </c>
      <c r="L15" s="21" t="s">
        <v>176</v>
      </c>
      <c r="M15" s="23" t="s">
        <v>177</v>
      </c>
      <c r="N15" s="20" t="s">
        <v>126</v>
      </c>
      <c r="O15" s="23"/>
      <c r="P15" s="24">
        <v>5</v>
      </c>
      <c r="Q15" s="24">
        <v>1</v>
      </c>
      <c r="R15" s="24" t="s">
        <v>951</v>
      </c>
      <c r="S15" s="24">
        <v>1</v>
      </c>
      <c r="T15" s="24">
        <v>0</v>
      </c>
      <c r="U15" s="21" t="s">
        <v>178</v>
      </c>
      <c r="V15" s="21" t="s">
        <v>179</v>
      </c>
      <c r="W15" s="20" t="s">
        <v>142</v>
      </c>
      <c r="X15" s="20" t="s">
        <v>130</v>
      </c>
      <c r="Y15" s="20" t="s">
        <v>46</v>
      </c>
      <c r="Z15" s="21" t="s">
        <v>180</v>
      </c>
      <c r="AA15" s="20" t="s">
        <v>126</v>
      </c>
      <c r="AB15" s="23"/>
      <c r="AC15" s="24"/>
      <c r="AD15" s="24"/>
      <c r="AE15" s="21" t="s">
        <v>178</v>
      </c>
      <c r="AF15" s="21" t="s">
        <v>179</v>
      </c>
      <c r="AG15" s="20" t="s">
        <v>132</v>
      </c>
      <c r="AH15" s="25">
        <f>IF(OR($Q15="",$Q15=0,$P15=""),0,ROUND($P15*$Q15*IFERROR(IF($R15="건별/비정기",$T15,VLOOKUP($R15,'04.코드표'!$K$5:$L$8,2,FALSE)*$S15),0)/60,1))</f>
        <v>4.3</v>
      </c>
      <c r="AI15" s="25">
        <f>IF(OR($AD15="",$AD15=0,$AC15=""),0,ROUND($AC15*$AD15*IFERROR(IF($R15="건별/비정기",$T15,VLOOKUP($R15,'04.코드표'!$K$5:$L$8,2,FALSE)*$S15),0)/60,1))</f>
        <v>0</v>
      </c>
      <c r="AJ15" s="25">
        <f t="shared" si="0"/>
        <v>4.3</v>
      </c>
      <c r="AK15" s="26">
        <f>IF($L15="","",ROUND($AJ15/'04.코드표'!$L$11,2))</f>
        <v>0</v>
      </c>
      <c r="AL15" s="20" t="s">
        <v>145</v>
      </c>
      <c r="AM15" s="21" t="s">
        <v>181</v>
      </c>
      <c r="AN15" s="23"/>
      <c r="AO15" s="23"/>
      <c r="AP15" s="22">
        <f t="shared" si="1"/>
        <v>4</v>
      </c>
      <c r="AQ15" s="22" t="str">
        <f t="shared" si="2"/>
        <v>○ 좋음 (하는 일 3가지)</v>
      </c>
      <c r="AR15" s="22" t="str">
        <f t="shared" si="3"/>
        <v>⚠ 2칸 비었음</v>
      </c>
      <c r="AS15" s="27" t="str">
        <f t="shared" si="4"/>
        <v>○ 문제 없음</v>
      </c>
      <c r="AT15" s="23"/>
      <c r="AU15" s="23"/>
      <c r="AV15" s="28" t="str">
        <f t="shared" si="5"/>
        <v>결정한다</v>
      </c>
      <c r="AW15" s="28" t="str">
        <f t="shared" si="6"/>
        <v>분석 결과의 타당성을 검토하여 채택 여부를 결정한다</v>
      </c>
      <c r="AX15" s="28" t="str">
        <f t="shared" si="7"/>
        <v>기술 환경 분석</v>
      </c>
      <c r="AY15" s="28" t="str">
        <f>IF($L15="","",IF(SUMPRODUCT(--ISNUMBER(SEARCH({"조회","수집","추출","검색","파악","취합","조달","접수","연계","연동","선별","확보","입수","조사","식별","검출","감지","스크랩","필터링"},$AV15)))&gt;0,"조회",IF(SUMPRODUCT(--ISNUMBER(SEARCH({"검토","검증","판정","판별","확인","승인","선정","대조","점검","분류","확정","평가","판단","심사","검수","비교","결정","구분","진단","판독","협의"},$AV15)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15)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15)))&gt;0,"작성","기타")))))</f>
        <v>검증</v>
      </c>
      <c r="AZ15" s="28">
        <f t="shared" si="8"/>
        <v>3</v>
      </c>
      <c r="BA15" s="28">
        <f t="shared" si="9"/>
        <v>2</v>
      </c>
      <c r="BB15" s="28" t="str">
        <f>IF($L15="","",IF(AND($AX15&lt;&gt;"",ISNUMBER(SEARCH($AX15,$AW15))),"L5 이름을 그대로 씀 · ","")&amp;IF(AND($L15&lt;&gt;"",$L15=$Z15),"개선 후 설명이 똑같음 · ","")&amp;IF(COUNTIFS($C$6:$C$62,$C15,$L$6:$L$62,$L15)&gt;1,"같은 내용이 또 있음 · ","")&amp;IF(AND($U15&lt;&gt;"",$U15=$V15),"필요 자료와 산출물이 같음 · ","")&amp;IF(AND($C15=$C5,$V5&lt;&gt;"",$U15&lt;&gt;"",ISERROR(SEARCH(SUBSTITUTE($V5,CHAR(10)," "),SUBSTITUTE($U15,CHAR(10)," "))),ISERROR(SEARCH(SUBSTITUTE($U15,CHAR(10)," "),SUBSTITUTE($V5,CHAR(10)," ")))),"앞 산출물과 이어지지 않음 · ","")&amp;IF(SUMPRODUCT(--ISNUMBER(SEARCH({"관리한다","처리한다","수행한다","진행한다"},$AW15)))&gt;0,"뭉뚱그린 동사 · ","")&amp;IF(ISNUMBER(SEARCH("하고 ",$AW15)),"한 줄에 동작 2개 · ","")&amp;IF(RIGHT($L15,2)&lt;&gt;"한다","~한다 로 안 끝남 · ","")&amp;IF(AND($P15&lt;&gt;"",N($P15)&gt;60),"1건 60분 넘음 — 더 쪼개세요 · ","")&amp;IF(AND($AA15="AI",$AD15&lt;&gt;"",N($AD15)&gt;0),"AI 혼자 하는데 사람 인원 있음 · ","")&amp;IF(AND($AA15="AI+사람",$AD15&lt;&gt;"",N($AD15)=0),"사람이 확인한다는데 인원 0 · ","")&amp;IF(AND($X15="유지",$Y15="AI"),"그대로 두는데 AI 를 쓴다고 함 · ","")&amp;IF(AND($X15="신설",COUNT($P15,$Q15)&gt;0),"새로 생기는 일인데 현재 공수가 있음 · ","")&amp;IF(AND($X15="삭제",COUNT($AC15,$AD15)&gt;0),"없애는 일인데 개선 후 공수가 있음 · ","")&amp;IF(AND($X15&lt;&gt;"신설",N($AH15)&gt;0,N($AI15)&gt;N($AH15)),"개선 후가 지금보다 더 오래 걸림 · ",""))</f>
        <v/>
      </c>
      <c r="BC15" s="28">
        <f t="shared" si="10"/>
        <v>0.25</v>
      </c>
    </row>
    <row r="16" spans="1:55" ht="37.15" customHeight="1" x14ac:dyDescent="0.3">
      <c r="B16" s="20">
        <v>11</v>
      </c>
      <c r="C16" s="21" t="s">
        <v>182</v>
      </c>
      <c r="D16" s="21" t="s">
        <v>119</v>
      </c>
      <c r="E16" s="21" t="s">
        <v>32</v>
      </c>
      <c r="F16" s="21" t="s">
        <v>120</v>
      </c>
      <c r="G16" s="21" t="s">
        <v>121</v>
      </c>
      <c r="H16" s="21" t="s">
        <v>160</v>
      </c>
      <c r="I16" s="21" t="s">
        <v>183</v>
      </c>
      <c r="J16" s="21" t="s">
        <v>184</v>
      </c>
      <c r="K16" s="22" t="str">
        <f>IF($L16="","",$C16&amp;"-"&amp;TEXT(COUNTIFS($C$6:$C16,$C16),"00"))</f>
        <v>1.1.3.5.1-01</v>
      </c>
      <c r="L16" s="21" t="s">
        <v>185</v>
      </c>
      <c r="M16" s="23"/>
      <c r="N16" s="20" t="s">
        <v>126</v>
      </c>
      <c r="O16" s="23"/>
      <c r="P16" s="24">
        <v>25</v>
      </c>
      <c r="Q16" s="24">
        <v>1</v>
      </c>
      <c r="R16" s="24" t="s">
        <v>951</v>
      </c>
      <c r="S16" s="24">
        <v>1</v>
      </c>
      <c r="T16" s="24">
        <v>0</v>
      </c>
      <c r="U16" s="21" t="s">
        <v>186</v>
      </c>
      <c r="V16" s="21" t="s">
        <v>187</v>
      </c>
      <c r="W16" s="20" t="s">
        <v>142</v>
      </c>
      <c r="X16" s="20" t="s">
        <v>130</v>
      </c>
      <c r="Y16" s="20" t="s">
        <v>46</v>
      </c>
      <c r="Z16" s="21" t="s">
        <v>188</v>
      </c>
      <c r="AA16" s="20" t="s">
        <v>46</v>
      </c>
      <c r="AB16" s="23"/>
      <c r="AC16" s="24"/>
      <c r="AD16" s="24"/>
      <c r="AE16" s="21" t="s">
        <v>186</v>
      </c>
      <c r="AF16" s="21" t="s">
        <v>187</v>
      </c>
      <c r="AG16" s="20" t="s">
        <v>132</v>
      </c>
      <c r="AH16" s="25">
        <f>IF(OR($Q16="",$Q16=0,$P16=""),0,ROUND($P16*$Q16*IFERROR(IF($R16="건별/비정기",$T16,VLOOKUP($R16,'04.코드표'!$K$5:$L$8,2,FALSE)*$S16),0)/60,1))</f>
        <v>21.7</v>
      </c>
      <c r="AI16" s="25">
        <f>IF(OR($AD16="",$AD16=0,$AC16=""),0,ROUND($AC16*$AD16*IFERROR(IF($R16="건별/비정기",$T16,VLOOKUP($R16,'04.코드표'!$K$5:$L$8,2,FALSE)*$S16),0)/60,1))</f>
        <v>0</v>
      </c>
      <c r="AJ16" s="25">
        <f t="shared" si="0"/>
        <v>21.7</v>
      </c>
      <c r="AK16" s="26">
        <f>IF($L16="","",ROUND($AJ16/'04.코드표'!$L$11,2))</f>
        <v>0.01</v>
      </c>
      <c r="AL16" s="20" t="s">
        <v>133</v>
      </c>
      <c r="AM16" s="21" t="s">
        <v>189</v>
      </c>
      <c r="AN16" s="23"/>
      <c r="AO16" s="23"/>
      <c r="AP16" s="22">
        <f t="shared" si="1"/>
        <v>5</v>
      </c>
      <c r="AQ16" s="22" t="str">
        <f t="shared" si="2"/>
        <v>○ 좋음 (하는 일 4가지)</v>
      </c>
      <c r="AR16" s="22" t="str">
        <f t="shared" si="3"/>
        <v>⚠ 2칸 비었음</v>
      </c>
      <c r="AS16" s="27" t="str">
        <f t="shared" si="4"/>
        <v>○ 문제 없음</v>
      </c>
      <c r="AT16" s="23"/>
      <c r="AU16" s="23"/>
      <c r="AV16" s="28" t="str">
        <f t="shared" si="5"/>
        <v>조회한다</v>
      </c>
      <c r="AW16" s="28" t="str">
        <f t="shared" si="6"/>
        <v>정치·경제·사회·기술 환경 분석 결과를 조회한다</v>
      </c>
      <c r="AX16" s="28" t="str">
        <f t="shared" si="7"/>
        <v>환경분석 시사점도출</v>
      </c>
      <c r="AY16" s="28" t="str">
        <f>IF($L16="","",IF(SUMPRODUCT(--ISNUMBER(SEARCH({"조회","수집","추출","검색","파악","취합","조달","접수","연계","연동","선별","확보","입수","조사","식별","검출","감지","스크랩","필터링"},$AV16)))&gt;0,"조회",IF(SUMPRODUCT(--ISNUMBER(SEARCH({"검토","검증","판정","판별","확인","승인","선정","대조","점검","분류","확정","평가","판단","심사","검수","비교","결정","구분","진단","판독","협의"},$AV16)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16)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16)))&gt;0,"작성","기타")))))</f>
        <v>조회</v>
      </c>
      <c r="AZ16" s="28">
        <f t="shared" si="8"/>
        <v>4</v>
      </c>
      <c r="BA16" s="28">
        <f t="shared" si="9"/>
        <v>2</v>
      </c>
      <c r="BB16" s="28" t="str">
        <f>IF($L16="","",IF(AND($AX16&lt;&gt;"",ISNUMBER(SEARCH($AX16,$AW16))),"L5 이름을 그대로 씀 · ","")&amp;IF(AND($L16&lt;&gt;"",$L16=$Z16),"개선 후 설명이 똑같음 · ","")&amp;IF(COUNTIFS($C$6:$C$62,$C16,$L$6:$L$62,$L16)&gt;1,"같은 내용이 또 있음 · ","")&amp;IF(AND($U16&lt;&gt;"",$U16=$V16),"필요 자료와 산출물이 같음 · ","")&amp;IF(AND($C16=$C5,$V5&lt;&gt;"",$U16&lt;&gt;"",ISERROR(SEARCH(SUBSTITUTE($V5,CHAR(10)," "),SUBSTITUTE($U16,CHAR(10)," "))),ISERROR(SEARCH(SUBSTITUTE($U16,CHAR(10)," "),SUBSTITUTE($V5,CHAR(10)," ")))),"앞 산출물과 이어지지 않음 · ","")&amp;IF(SUMPRODUCT(--ISNUMBER(SEARCH({"관리한다","처리한다","수행한다","진행한다"},$AW16)))&gt;0,"뭉뚱그린 동사 · ","")&amp;IF(ISNUMBER(SEARCH("하고 ",$AW16)),"한 줄에 동작 2개 · ","")&amp;IF(RIGHT($L16,2)&lt;&gt;"한다","~한다 로 안 끝남 · ","")&amp;IF(AND($P16&lt;&gt;"",N($P16)&gt;60),"1건 60분 넘음 — 더 쪼개세요 · ","")&amp;IF(AND($AA16="AI",$AD16&lt;&gt;"",N($AD16)&gt;0),"AI 혼자 하는데 사람 인원 있음 · ","")&amp;IF(AND($AA16="AI+사람",$AD16&lt;&gt;"",N($AD16)=0),"사람이 확인한다는데 인원 0 · ","")&amp;IF(AND($X16="유지",$Y16="AI"),"그대로 두는데 AI 를 쓴다고 함 · ","")&amp;IF(AND($X16="신설",COUNT($P16,$Q16)&gt;0),"새로 생기는 일인데 현재 공수가 있음 · ","")&amp;IF(AND($X16="삭제",COUNT($AC16,$AD16)&gt;0),"없애는 일인데 개선 후 공수가 있음 · ","")&amp;IF(AND($X16&lt;&gt;"신설",N($AH16)&gt;0,N($AI16)&gt;N($AH16)),"개선 후가 지금보다 더 오래 걸림 · ",""))</f>
        <v/>
      </c>
      <c r="BC16" s="28">
        <f t="shared" si="10"/>
        <v>0.2</v>
      </c>
    </row>
    <row r="17" spans="2:55" ht="37.15" customHeight="1" x14ac:dyDescent="0.3">
      <c r="B17" s="20">
        <v>12</v>
      </c>
      <c r="C17" s="21" t="s">
        <v>182</v>
      </c>
      <c r="D17" s="21" t="s">
        <v>119</v>
      </c>
      <c r="E17" s="21" t="s">
        <v>32</v>
      </c>
      <c r="F17" s="21" t="s">
        <v>120</v>
      </c>
      <c r="G17" s="21" t="s">
        <v>121</v>
      </c>
      <c r="H17" s="21" t="s">
        <v>160</v>
      </c>
      <c r="I17" s="21" t="s">
        <v>183</v>
      </c>
      <c r="J17" s="21" t="s">
        <v>184</v>
      </c>
      <c r="K17" s="22" t="str">
        <f>IF($L17="","",$C17&amp;"-"&amp;TEXT(COUNTIFS($C$6:$C17,$C17),"00"))</f>
        <v>1.1.3.5.1-02</v>
      </c>
      <c r="L17" s="21" t="s">
        <v>190</v>
      </c>
      <c r="M17" s="23"/>
      <c r="N17" s="20" t="s">
        <v>126</v>
      </c>
      <c r="O17" s="23"/>
      <c r="P17" s="24">
        <v>15</v>
      </c>
      <c r="Q17" s="24">
        <v>1</v>
      </c>
      <c r="R17" s="24" t="s">
        <v>951</v>
      </c>
      <c r="S17" s="24">
        <v>1</v>
      </c>
      <c r="T17" s="24">
        <v>0</v>
      </c>
      <c r="U17" s="21" t="s">
        <v>191</v>
      </c>
      <c r="V17" s="21" t="s">
        <v>192</v>
      </c>
      <c r="W17" s="20" t="s">
        <v>142</v>
      </c>
      <c r="X17" s="20" t="s">
        <v>150</v>
      </c>
      <c r="Y17" s="20" t="s">
        <v>46</v>
      </c>
      <c r="Z17" s="21" t="s">
        <v>193</v>
      </c>
      <c r="AA17" s="20" t="s">
        <v>46</v>
      </c>
      <c r="AB17" s="23"/>
      <c r="AC17" s="24"/>
      <c r="AD17" s="24"/>
      <c r="AE17" s="21" t="s">
        <v>191</v>
      </c>
      <c r="AF17" s="21" t="s">
        <v>192</v>
      </c>
      <c r="AG17" s="20" t="s">
        <v>132</v>
      </c>
      <c r="AH17" s="25">
        <f>IF(OR($Q17="",$Q17=0,$P17=""),0,ROUND($P17*$Q17*IFERROR(IF($R17="건별/비정기",$T17,VLOOKUP($R17,'04.코드표'!$K$5:$L$8,2,FALSE)*$S17),0)/60,1))</f>
        <v>13</v>
      </c>
      <c r="AI17" s="25">
        <f>IF(OR($AD17="",$AD17=0,$AC17=""),0,ROUND($AC17*$AD17*IFERROR(IF($R17="건별/비정기",$T17,VLOOKUP($R17,'04.코드표'!$K$5:$L$8,2,FALSE)*$S17),0)/60,1))</f>
        <v>0</v>
      </c>
      <c r="AJ17" s="25">
        <f t="shared" si="0"/>
        <v>13</v>
      </c>
      <c r="AK17" s="26">
        <f>IF($L17="","",ROUND($AJ17/'04.코드표'!$L$11,2))</f>
        <v>0.01</v>
      </c>
      <c r="AL17" s="20" t="s">
        <v>145</v>
      </c>
      <c r="AM17" s="21" t="s">
        <v>194</v>
      </c>
      <c r="AN17" s="23"/>
      <c r="AO17" s="23"/>
      <c r="AP17" s="22">
        <f t="shared" si="1"/>
        <v>5</v>
      </c>
      <c r="AQ17" s="22" t="str">
        <f t="shared" si="2"/>
        <v>○ 좋음 (하는 일 4가지)</v>
      </c>
      <c r="AR17" s="22" t="str">
        <f t="shared" si="3"/>
        <v>⚠ 2칸 비었음</v>
      </c>
      <c r="AS17" s="27" t="str">
        <f t="shared" si="4"/>
        <v>⚠ 새로 생기는 일인데 현재 공수가 있음</v>
      </c>
      <c r="AT17" s="23"/>
      <c r="AU17" s="23"/>
      <c r="AV17" s="28" t="str">
        <f t="shared" si="5"/>
        <v>도출한다</v>
      </c>
      <c r="AW17" s="28" t="str">
        <f t="shared" si="6"/>
        <v>상품/서비스·영업/채널·기술/인프라·마케팅 4개 관점별로 시사점을 도출한다</v>
      </c>
      <c r="AX17" s="28" t="str">
        <f t="shared" si="7"/>
        <v>환경분석 시사점도출</v>
      </c>
      <c r="AY17" s="28" t="str">
        <f>IF($L17="","",IF(SUMPRODUCT(--ISNUMBER(SEARCH({"조회","수집","추출","검색","파악","취합","조달","접수","연계","연동","선별","확보","입수","조사","식별","검출","감지","스크랩","필터링"},$AV17)))&gt;0,"조회",IF(SUMPRODUCT(--ISNUMBER(SEARCH({"검토","검증","판정","판별","확인","승인","선정","대조","점검","분류","확정","평가","판단","심사","검수","비교","결정","구분","진단","판독","협의"},$AV17)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17)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17)))&gt;0,"작성","기타")))))</f>
        <v>작성</v>
      </c>
      <c r="AZ17" s="28">
        <f t="shared" si="8"/>
        <v>4</v>
      </c>
      <c r="BA17" s="28">
        <f t="shared" si="9"/>
        <v>2</v>
      </c>
      <c r="BB17" s="28" t="str">
        <f>IF($L17="","",IF(AND($AX17&lt;&gt;"",ISNUMBER(SEARCH($AX17,$AW17))),"L5 이름을 그대로 씀 · ","")&amp;IF(AND($L17&lt;&gt;"",$L17=$Z17),"개선 후 설명이 똑같음 · ","")&amp;IF(COUNTIFS($C$6:$C$62,$C17,$L$6:$L$62,$L17)&gt;1,"같은 내용이 또 있음 · ","")&amp;IF(AND($U17&lt;&gt;"",$U17=$V17),"필요 자료와 산출물이 같음 · ","")&amp;IF(AND($C17=$C5,$V5&lt;&gt;"",$U17&lt;&gt;"",ISERROR(SEARCH(SUBSTITUTE($V5,CHAR(10)," "),SUBSTITUTE($U17,CHAR(10)," "))),ISERROR(SEARCH(SUBSTITUTE($U17,CHAR(10)," "),SUBSTITUTE($V5,CHAR(10)," ")))),"앞 산출물과 이어지지 않음 · ","")&amp;IF(SUMPRODUCT(--ISNUMBER(SEARCH({"관리한다","처리한다","수행한다","진행한다"},$AW17)))&gt;0,"뭉뚱그린 동사 · ","")&amp;IF(ISNUMBER(SEARCH("하고 ",$AW17)),"한 줄에 동작 2개 · ","")&amp;IF(RIGHT($L17,2)&lt;&gt;"한다","~한다 로 안 끝남 · ","")&amp;IF(AND($P17&lt;&gt;"",N($P17)&gt;60),"1건 60분 넘음 — 더 쪼개세요 · ","")&amp;IF(AND($AA17="AI",$AD17&lt;&gt;"",N($AD17)&gt;0),"AI 혼자 하는데 사람 인원 있음 · ","")&amp;IF(AND($AA17="AI+사람",$AD17&lt;&gt;"",N($AD17)=0),"사람이 확인한다는데 인원 0 · ","")&amp;IF(AND($X17="유지",$Y17="AI"),"그대로 두는데 AI 를 쓴다고 함 · ","")&amp;IF(AND($X17="신설",COUNT($P17,$Q17)&gt;0),"새로 생기는 일인데 현재 공수가 있음 · ","")&amp;IF(AND($X17="삭제",COUNT($AC17,$AD17)&gt;0),"없애는 일인데 개선 후 공수가 있음 · ","")&amp;IF(AND($X17&lt;&gt;"신설",N($AH17)&gt;0,N($AI17)&gt;N($AH17)),"개선 후가 지금보다 더 오래 걸림 · ",""))</f>
        <v xml:space="preserve">새로 생기는 일인데 현재 공수가 있음 · </v>
      </c>
      <c r="BC17" s="28">
        <f t="shared" si="10"/>
        <v>0.2</v>
      </c>
    </row>
    <row r="18" spans="2:55" ht="37.15" customHeight="1" x14ac:dyDescent="0.3">
      <c r="B18" s="20">
        <v>13</v>
      </c>
      <c r="C18" s="21" t="s">
        <v>182</v>
      </c>
      <c r="D18" s="21" t="s">
        <v>119</v>
      </c>
      <c r="E18" s="21" t="s">
        <v>32</v>
      </c>
      <c r="F18" s="21" t="s">
        <v>120</v>
      </c>
      <c r="G18" s="21" t="s">
        <v>121</v>
      </c>
      <c r="H18" s="21" t="s">
        <v>160</v>
      </c>
      <c r="I18" s="21" t="s">
        <v>183</v>
      </c>
      <c r="J18" s="21" t="s">
        <v>184</v>
      </c>
      <c r="K18" s="22" t="str">
        <f>IF($L18="","",$C18&amp;"-"&amp;TEXT(COUNTIFS($C$6:$C18,$C18),"00"))</f>
        <v>1.1.3.5.1-03</v>
      </c>
      <c r="L18" s="21" t="s">
        <v>195</v>
      </c>
      <c r="M18" s="23" t="s">
        <v>196</v>
      </c>
      <c r="N18" s="20" t="s">
        <v>126</v>
      </c>
      <c r="O18" s="23"/>
      <c r="P18" s="24">
        <v>5</v>
      </c>
      <c r="Q18" s="24">
        <v>1</v>
      </c>
      <c r="R18" s="24" t="s">
        <v>951</v>
      </c>
      <c r="S18" s="24">
        <v>1</v>
      </c>
      <c r="T18" s="24">
        <v>0</v>
      </c>
      <c r="U18" s="21" t="s">
        <v>192</v>
      </c>
      <c r="V18" s="21" t="s">
        <v>197</v>
      </c>
      <c r="W18" s="20" t="s">
        <v>142</v>
      </c>
      <c r="X18" s="20" t="s">
        <v>150</v>
      </c>
      <c r="Y18" s="20" t="s">
        <v>46</v>
      </c>
      <c r="Z18" s="21" t="s">
        <v>198</v>
      </c>
      <c r="AA18" s="20" t="s">
        <v>46</v>
      </c>
      <c r="AB18" s="23"/>
      <c r="AC18" s="24"/>
      <c r="AD18" s="24"/>
      <c r="AE18" s="21" t="s">
        <v>192</v>
      </c>
      <c r="AF18" s="21" t="s">
        <v>197</v>
      </c>
      <c r="AG18" s="20" t="s">
        <v>132</v>
      </c>
      <c r="AH18" s="25">
        <f>IF(OR($Q18="",$Q18=0,$P18=""),0,ROUND($P18*$Q18*IFERROR(IF($R18="건별/비정기",$T18,VLOOKUP($R18,'04.코드표'!$K$5:$L$8,2,FALSE)*$S18),0)/60,1))</f>
        <v>4.3</v>
      </c>
      <c r="AI18" s="25">
        <f>IF(OR($AD18="",$AD18=0,$AC18=""),0,ROUND($AC18*$AD18*IFERROR(IF($R18="건별/비정기",$T18,VLOOKUP($R18,'04.코드표'!$K$5:$L$8,2,FALSE)*$S18),0)/60,1))</f>
        <v>0</v>
      </c>
      <c r="AJ18" s="25">
        <f t="shared" si="0"/>
        <v>4.3</v>
      </c>
      <c r="AK18" s="26">
        <f>IF($L18="","",ROUND($AJ18/'04.코드표'!$L$11,2))</f>
        <v>0</v>
      </c>
      <c r="AL18" s="20" t="s">
        <v>145</v>
      </c>
      <c r="AM18" s="21" t="s">
        <v>199</v>
      </c>
      <c r="AN18" s="23"/>
      <c r="AO18" s="23"/>
      <c r="AP18" s="22">
        <f t="shared" si="1"/>
        <v>5</v>
      </c>
      <c r="AQ18" s="22" t="str">
        <f t="shared" si="2"/>
        <v>○ 좋음 (하는 일 4가지)</v>
      </c>
      <c r="AR18" s="22" t="str">
        <f t="shared" si="3"/>
        <v>⚠ 2칸 비었음</v>
      </c>
      <c r="AS18" s="27" t="str">
        <f t="shared" si="4"/>
        <v>⚠ 새로 생기는 일인데 현재 공수가 있음</v>
      </c>
      <c r="AT18" s="23"/>
      <c r="AU18" s="23"/>
      <c r="AV18" s="28" t="str">
        <f t="shared" si="5"/>
        <v>확인한다</v>
      </c>
      <c r="AW18" s="28" t="str">
        <f t="shared" si="6"/>
        <v>관점 간 결론 충돌 여부와 확신도를 확인한다</v>
      </c>
      <c r="AX18" s="28" t="str">
        <f t="shared" si="7"/>
        <v>환경분석 시사점도출</v>
      </c>
      <c r="AY18" s="28" t="str">
        <f>IF($L18="","",IF(SUMPRODUCT(--ISNUMBER(SEARCH({"조회","수집","추출","검색","파악","취합","조달","접수","연계","연동","선별","확보","입수","조사","식별","검출","감지","스크랩","필터링"},$AV18)))&gt;0,"조회",IF(SUMPRODUCT(--ISNUMBER(SEARCH({"검토","검증","판정","판별","확인","승인","선정","대조","점검","분류","확정","평가","판단","심사","검수","비교","결정","구분","진단","판독","협의"},$AV18)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18)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18)))&gt;0,"작성","기타")))))</f>
        <v>검증</v>
      </c>
      <c r="AZ18" s="28">
        <f t="shared" si="8"/>
        <v>4</v>
      </c>
      <c r="BA18" s="28">
        <f t="shared" si="9"/>
        <v>2</v>
      </c>
      <c r="BB18" s="28" t="str">
        <f>IF($L18="","",IF(AND($AX18&lt;&gt;"",ISNUMBER(SEARCH($AX18,$AW18))),"L5 이름을 그대로 씀 · ","")&amp;IF(AND($L18&lt;&gt;"",$L18=$Z18),"개선 후 설명이 똑같음 · ","")&amp;IF(COUNTIFS($C$6:$C$62,$C18,$L$6:$L$62,$L18)&gt;1,"같은 내용이 또 있음 · ","")&amp;IF(AND($U18&lt;&gt;"",$U18=$V18),"필요 자료와 산출물이 같음 · ","")&amp;IF(AND($C18=$C5,$V5&lt;&gt;"",$U18&lt;&gt;"",ISERROR(SEARCH(SUBSTITUTE($V5,CHAR(10)," "),SUBSTITUTE($U18,CHAR(10)," "))),ISERROR(SEARCH(SUBSTITUTE($U18,CHAR(10)," "),SUBSTITUTE($V5,CHAR(10)," ")))),"앞 산출물과 이어지지 않음 · ","")&amp;IF(SUMPRODUCT(--ISNUMBER(SEARCH({"관리한다","처리한다","수행한다","진행한다"},$AW18)))&gt;0,"뭉뚱그린 동사 · ","")&amp;IF(ISNUMBER(SEARCH("하고 ",$AW18)),"한 줄에 동작 2개 · ","")&amp;IF(RIGHT($L18,2)&lt;&gt;"한다","~한다 로 안 끝남 · ","")&amp;IF(AND($P18&lt;&gt;"",N($P18)&gt;60),"1건 60분 넘음 — 더 쪼개세요 · ","")&amp;IF(AND($AA18="AI",$AD18&lt;&gt;"",N($AD18)&gt;0),"AI 혼자 하는데 사람 인원 있음 · ","")&amp;IF(AND($AA18="AI+사람",$AD18&lt;&gt;"",N($AD18)=0),"사람이 확인한다는데 인원 0 · ","")&amp;IF(AND($X18="유지",$Y18="AI"),"그대로 두는데 AI 를 쓴다고 함 · ","")&amp;IF(AND($X18="신설",COUNT($P18,$Q18)&gt;0),"새로 생기는 일인데 현재 공수가 있음 · ","")&amp;IF(AND($X18="삭제",COUNT($AC18,$AD18)&gt;0),"없애는 일인데 개선 후 공수가 있음 · ","")&amp;IF(AND($X18&lt;&gt;"신설",N($AH18)&gt;0,N($AI18)&gt;N($AH18)),"개선 후가 지금보다 더 오래 걸림 · ",""))</f>
        <v xml:space="preserve">새로 생기는 일인데 현재 공수가 있음 · </v>
      </c>
      <c r="BC18" s="28">
        <f t="shared" si="10"/>
        <v>0.2</v>
      </c>
    </row>
    <row r="19" spans="2:55" ht="52.9" customHeight="1" x14ac:dyDescent="0.3">
      <c r="B19" s="20">
        <v>14</v>
      </c>
      <c r="C19" s="21" t="s">
        <v>182</v>
      </c>
      <c r="D19" s="21" t="s">
        <v>119</v>
      </c>
      <c r="E19" s="21" t="s">
        <v>32</v>
      </c>
      <c r="F19" s="21" t="s">
        <v>120</v>
      </c>
      <c r="G19" s="21" t="s">
        <v>121</v>
      </c>
      <c r="H19" s="21" t="s">
        <v>160</v>
      </c>
      <c r="I19" s="21" t="s">
        <v>183</v>
      </c>
      <c r="J19" s="21" t="s">
        <v>184</v>
      </c>
      <c r="K19" s="22" t="str">
        <f>IF($L19="","",$C19&amp;"-"&amp;TEXT(COUNTIFS($C$6:$C19,$C19),"00"))</f>
        <v>1.1.3.5.1-04</v>
      </c>
      <c r="L19" s="21" t="s">
        <v>200</v>
      </c>
      <c r="M19" s="23" t="s">
        <v>201</v>
      </c>
      <c r="N19" s="20" t="s">
        <v>126</v>
      </c>
      <c r="O19" s="23"/>
      <c r="P19" s="24">
        <v>5</v>
      </c>
      <c r="Q19" s="24">
        <v>1</v>
      </c>
      <c r="R19" s="24" t="s">
        <v>951</v>
      </c>
      <c r="S19" s="24">
        <v>1</v>
      </c>
      <c r="T19" s="24">
        <v>0</v>
      </c>
      <c r="U19" s="21" t="s">
        <v>197</v>
      </c>
      <c r="V19" s="21" t="s">
        <v>202</v>
      </c>
      <c r="W19" s="20" t="s">
        <v>142</v>
      </c>
      <c r="X19" s="20" t="s">
        <v>130</v>
      </c>
      <c r="Y19" s="20" t="s">
        <v>46</v>
      </c>
      <c r="Z19" s="21" t="s">
        <v>203</v>
      </c>
      <c r="AA19" s="20" t="s">
        <v>126</v>
      </c>
      <c r="AB19" s="23"/>
      <c r="AC19" s="24"/>
      <c r="AD19" s="24"/>
      <c r="AE19" s="21" t="s">
        <v>197</v>
      </c>
      <c r="AF19" s="21" t="s">
        <v>202</v>
      </c>
      <c r="AG19" s="20" t="s">
        <v>132</v>
      </c>
      <c r="AH19" s="25">
        <f>IF(OR($Q19="",$Q19=0,$P19=""),0,ROUND($P19*$Q19*IFERROR(IF($R19="건별/비정기",$T19,VLOOKUP($R19,'04.코드표'!$K$5:$L$8,2,FALSE)*$S19),0)/60,1))</f>
        <v>4.3</v>
      </c>
      <c r="AI19" s="25">
        <f>IF(OR($AD19="",$AD19=0,$AC19=""),0,ROUND($AC19*$AD19*IFERROR(IF($R19="건별/비정기",$T19,VLOOKUP($R19,'04.코드표'!$K$5:$L$8,2,FALSE)*$S19),0)/60,1))</f>
        <v>0</v>
      </c>
      <c r="AJ19" s="25">
        <f t="shared" si="0"/>
        <v>4.3</v>
      </c>
      <c r="AK19" s="26">
        <f>IF($L19="","",ROUND($AJ19/'04.코드표'!$L$11,2))</f>
        <v>0</v>
      </c>
      <c r="AL19" s="20" t="s">
        <v>145</v>
      </c>
      <c r="AM19" s="21" t="s">
        <v>204</v>
      </c>
      <c r="AN19" s="23"/>
      <c r="AO19" s="23"/>
      <c r="AP19" s="22">
        <f t="shared" si="1"/>
        <v>5</v>
      </c>
      <c r="AQ19" s="22" t="str">
        <f t="shared" si="2"/>
        <v>○ 좋음 (하는 일 4가지)</v>
      </c>
      <c r="AR19" s="22" t="str">
        <f t="shared" si="3"/>
        <v>⚠ 2칸 비었음</v>
      </c>
      <c r="AS19" s="27" t="str">
        <f t="shared" si="4"/>
        <v>○ 문제 없음</v>
      </c>
      <c r="AT19" s="23"/>
      <c r="AU19" s="23"/>
      <c r="AV19" s="28" t="str">
        <f t="shared" si="5"/>
        <v>표시한다</v>
      </c>
      <c r="AW19" s="28" t="str">
        <f t="shared" si="6"/>
        <v>최종 시사점의 채택과 기각을 판단하여 표시한다</v>
      </c>
      <c r="AX19" s="28" t="str">
        <f t="shared" si="7"/>
        <v>환경분석 시사점도출</v>
      </c>
      <c r="AY19" s="28" t="str">
        <f>IF($L19="","",IF(SUMPRODUCT(--ISNUMBER(SEARCH({"조회","수집","추출","검색","파악","취합","조달","접수","연계","연동","선별","확보","입수","조사","식별","검출","감지","스크랩","필터링"},$AV19)))&gt;0,"조회",IF(SUMPRODUCT(--ISNUMBER(SEARCH({"검토","검증","판정","판별","확인","승인","선정","대조","점검","분류","확정","평가","판단","심사","검수","비교","결정","구분","진단","판독","협의"},$AV19)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19)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19)))&gt;0,"작성","기타")))))</f>
        <v>작성</v>
      </c>
      <c r="AZ19" s="28">
        <f t="shared" si="8"/>
        <v>4</v>
      </c>
      <c r="BA19" s="28">
        <f t="shared" si="9"/>
        <v>2</v>
      </c>
      <c r="BB19" s="28" t="str">
        <f>IF($L19="","",IF(AND($AX19&lt;&gt;"",ISNUMBER(SEARCH($AX19,$AW19))),"L5 이름을 그대로 씀 · ","")&amp;IF(AND($L19&lt;&gt;"",$L19=$Z19),"개선 후 설명이 똑같음 · ","")&amp;IF(COUNTIFS($C$6:$C$62,$C19,$L$6:$L$62,$L19)&gt;1,"같은 내용이 또 있음 · ","")&amp;IF(AND($U19&lt;&gt;"",$U19=$V19),"필요 자료와 산출물이 같음 · ","")&amp;IF(AND($C19=$C5,$V5&lt;&gt;"",$U19&lt;&gt;"",ISERROR(SEARCH(SUBSTITUTE($V5,CHAR(10)," "),SUBSTITUTE($U19,CHAR(10)," "))),ISERROR(SEARCH(SUBSTITUTE($U19,CHAR(10)," "),SUBSTITUTE($V5,CHAR(10)," ")))),"앞 산출물과 이어지지 않음 · ","")&amp;IF(SUMPRODUCT(--ISNUMBER(SEARCH({"관리한다","처리한다","수행한다","진행한다"},$AW19)))&gt;0,"뭉뚱그린 동사 · ","")&amp;IF(ISNUMBER(SEARCH("하고 ",$AW19)),"한 줄에 동작 2개 · ","")&amp;IF(RIGHT($L19,2)&lt;&gt;"한다","~한다 로 안 끝남 · ","")&amp;IF(AND($P19&lt;&gt;"",N($P19)&gt;60),"1건 60분 넘음 — 더 쪼개세요 · ","")&amp;IF(AND($AA19="AI",$AD19&lt;&gt;"",N($AD19)&gt;0),"AI 혼자 하는데 사람 인원 있음 · ","")&amp;IF(AND($AA19="AI+사람",$AD19&lt;&gt;"",N($AD19)=0),"사람이 확인한다는데 인원 0 · ","")&amp;IF(AND($X19="유지",$Y19="AI"),"그대로 두는데 AI 를 쓴다고 함 · ","")&amp;IF(AND($X19="신설",COUNT($P19,$Q19)&gt;0),"새로 생기는 일인데 현재 공수가 있음 · ","")&amp;IF(AND($X19="삭제",COUNT($AC19,$AD19)&gt;0),"없애는 일인데 개선 후 공수가 있음 · ","")&amp;IF(AND($X19&lt;&gt;"신설",N($AH19)&gt;0,N($AI19)&gt;N($AH19)),"개선 후가 지금보다 더 오래 걸림 · ",""))</f>
        <v/>
      </c>
      <c r="BC19" s="28">
        <f t="shared" si="10"/>
        <v>0.2</v>
      </c>
    </row>
    <row r="20" spans="2:55" ht="37.15" customHeight="1" x14ac:dyDescent="0.3">
      <c r="B20" s="20">
        <v>15</v>
      </c>
      <c r="C20" s="21" t="s">
        <v>182</v>
      </c>
      <c r="D20" s="21" t="s">
        <v>119</v>
      </c>
      <c r="E20" s="21" t="s">
        <v>32</v>
      </c>
      <c r="F20" s="21" t="s">
        <v>120</v>
      </c>
      <c r="G20" s="21" t="s">
        <v>121</v>
      </c>
      <c r="H20" s="21" t="s">
        <v>160</v>
      </c>
      <c r="I20" s="21" t="s">
        <v>183</v>
      </c>
      <c r="J20" s="21" t="s">
        <v>184</v>
      </c>
      <c r="K20" s="22" t="str">
        <f>IF($L20="","",$C20&amp;"-"&amp;TEXT(COUNTIFS($C$6:$C20,$C20),"00"))</f>
        <v>1.1.3.5.1-05</v>
      </c>
      <c r="L20" s="21" t="s">
        <v>205</v>
      </c>
      <c r="M20" s="23"/>
      <c r="N20" s="20" t="s">
        <v>126</v>
      </c>
      <c r="O20" s="23"/>
      <c r="P20" s="24">
        <v>15</v>
      </c>
      <c r="Q20" s="24">
        <v>1</v>
      </c>
      <c r="R20" s="24" t="s">
        <v>951</v>
      </c>
      <c r="S20" s="24">
        <v>1</v>
      </c>
      <c r="T20" s="24">
        <v>0</v>
      </c>
      <c r="U20" s="21" t="s">
        <v>206</v>
      </c>
      <c r="V20" s="21" t="s">
        <v>207</v>
      </c>
      <c r="W20" s="20" t="s">
        <v>142</v>
      </c>
      <c r="X20" s="20" t="s">
        <v>150</v>
      </c>
      <c r="Y20" s="20" t="s">
        <v>46</v>
      </c>
      <c r="Z20" s="21" t="s">
        <v>208</v>
      </c>
      <c r="AA20" s="20" t="s">
        <v>144</v>
      </c>
      <c r="AB20" s="23"/>
      <c r="AC20" s="24"/>
      <c r="AD20" s="24"/>
      <c r="AE20" s="21" t="s">
        <v>206</v>
      </c>
      <c r="AF20" s="21" t="s">
        <v>207</v>
      </c>
      <c r="AG20" s="20" t="s">
        <v>132</v>
      </c>
      <c r="AH20" s="25">
        <f>IF(OR($Q20="",$Q20=0,$P20=""),0,ROUND($P20*$Q20*IFERROR(IF($R20="건별/비정기",$T20,VLOOKUP($R20,'04.코드표'!$K$5:$L$8,2,FALSE)*$S20),0)/60,1))</f>
        <v>13</v>
      </c>
      <c r="AI20" s="25">
        <f>IF(OR($AD20="",$AD20=0,$AC20=""),0,ROUND($AC20*$AD20*IFERROR(IF($R20="건별/비정기",$T20,VLOOKUP($R20,'04.코드표'!$K$5:$L$8,2,FALSE)*$S20),0)/60,1))</f>
        <v>0</v>
      </c>
      <c r="AJ20" s="25">
        <f t="shared" si="0"/>
        <v>13</v>
      </c>
      <c r="AK20" s="26">
        <f>IF($L20="","",ROUND($AJ20/'04.코드표'!$L$11,2))</f>
        <v>0.01</v>
      </c>
      <c r="AL20" s="20" t="s">
        <v>152</v>
      </c>
      <c r="AM20" s="21" t="s">
        <v>209</v>
      </c>
      <c r="AN20" s="23"/>
      <c r="AO20" s="23"/>
      <c r="AP20" s="22">
        <f t="shared" si="1"/>
        <v>5</v>
      </c>
      <c r="AQ20" s="22" t="str">
        <f t="shared" si="2"/>
        <v>○ 좋음 (하는 일 4가지)</v>
      </c>
      <c r="AR20" s="22" t="str">
        <f t="shared" si="3"/>
        <v>⚠ 2칸 비었음</v>
      </c>
      <c r="AS20" s="27" t="str">
        <f t="shared" si="4"/>
        <v>⚠ 새로 생기는 일인데 현재 공수가 있음</v>
      </c>
      <c r="AT20" s="23"/>
      <c r="AU20" s="23"/>
      <c r="AV20" s="28" t="str">
        <f t="shared" si="5"/>
        <v>기록한다</v>
      </c>
      <c r="AW20" s="28" t="str">
        <f t="shared" si="6"/>
        <v>채택·기각의 판단 근거를 지식 계층에 기록한다</v>
      </c>
      <c r="AX20" s="28" t="str">
        <f t="shared" si="7"/>
        <v>환경분석 시사점도출</v>
      </c>
      <c r="AY20" s="28" t="str">
        <f>IF($L20="","",IF(SUMPRODUCT(--ISNUMBER(SEARCH({"조회","수집","추출","검색","파악","취합","조달","접수","연계","연동","선별","확보","입수","조사","식별","검출","감지","스크랩","필터링"},$AV20)))&gt;0,"조회",IF(SUMPRODUCT(--ISNUMBER(SEARCH({"검토","검증","판정","판별","확인","승인","선정","대조","점검","분류","확정","평가","판단","심사","검수","비교","결정","구분","진단","판독","협의"},$AV20)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20)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20)))&gt;0,"작성","기타")))))</f>
        <v>등록</v>
      </c>
      <c r="AZ20" s="28">
        <f t="shared" si="8"/>
        <v>4</v>
      </c>
      <c r="BA20" s="28">
        <f t="shared" si="9"/>
        <v>2</v>
      </c>
      <c r="BB20" s="28" t="str">
        <f>IF($L20="","",IF(AND($AX20&lt;&gt;"",ISNUMBER(SEARCH($AX20,$AW20))),"L5 이름을 그대로 씀 · ","")&amp;IF(AND($L20&lt;&gt;"",$L20=$Z20),"개선 후 설명이 똑같음 · ","")&amp;IF(COUNTIFS($C$6:$C$62,$C20,$L$6:$L$62,$L20)&gt;1,"같은 내용이 또 있음 · ","")&amp;IF(AND($U20&lt;&gt;"",$U20=$V20),"필요 자료와 산출물이 같음 · ","")&amp;IF(AND($C20=$C5,$V5&lt;&gt;"",$U20&lt;&gt;"",ISERROR(SEARCH(SUBSTITUTE($V5,CHAR(10)," "),SUBSTITUTE($U20,CHAR(10)," "))),ISERROR(SEARCH(SUBSTITUTE($U20,CHAR(10)," "),SUBSTITUTE($V5,CHAR(10)," ")))),"앞 산출물과 이어지지 않음 · ","")&amp;IF(SUMPRODUCT(--ISNUMBER(SEARCH({"관리한다","처리한다","수행한다","진행한다"},$AW20)))&gt;0,"뭉뚱그린 동사 · ","")&amp;IF(ISNUMBER(SEARCH("하고 ",$AW20)),"한 줄에 동작 2개 · ","")&amp;IF(RIGHT($L20,2)&lt;&gt;"한다","~한다 로 안 끝남 · ","")&amp;IF(AND($P20&lt;&gt;"",N($P20)&gt;60),"1건 60분 넘음 — 더 쪼개세요 · ","")&amp;IF(AND($AA20="AI",$AD20&lt;&gt;"",N($AD20)&gt;0),"AI 혼자 하는데 사람 인원 있음 · ","")&amp;IF(AND($AA20="AI+사람",$AD20&lt;&gt;"",N($AD20)=0),"사람이 확인한다는데 인원 0 · ","")&amp;IF(AND($X20="유지",$Y20="AI"),"그대로 두는데 AI 를 쓴다고 함 · ","")&amp;IF(AND($X20="신설",COUNT($P20,$Q20)&gt;0),"새로 생기는 일인데 현재 공수가 있음 · ","")&amp;IF(AND($X20="삭제",COUNT($AC20,$AD20)&gt;0),"없애는 일인데 개선 후 공수가 있음 · ","")&amp;IF(AND($X20&lt;&gt;"신설",N($AH20)&gt;0,N($AI20)&gt;N($AH20)),"개선 후가 지금보다 더 오래 걸림 · ",""))</f>
        <v xml:space="preserve">새로 생기는 일인데 현재 공수가 있음 · </v>
      </c>
      <c r="BC20" s="28">
        <f t="shared" si="10"/>
        <v>0.2</v>
      </c>
    </row>
    <row r="21" spans="2:55" ht="21.6" customHeight="1" x14ac:dyDescent="0.3">
      <c r="B21" s="11">
        <v>16</v>
      </c>
      <c r="C21" s="11" t="s">
        <v>210</v>
      </c>
      <c r="D21" s="11" t="s">
        <v>119</v>
      </c>
      <c r="E21" s="11" t="s">
        <v>32</v>
      </c>
      <c r="F21" s="11" t="s">
        <v>120</v>
      </c>
      <c r="G21" s="11" t="s">
        <v>121</v>
      </c>
      <c r="H21" s="11" t="s">
        <v>160</v>
      </c>
      <c r="I21" s="11" t="s">
        <v>211</v>
      </c>
      <c r="J21" s="11" t="s">
        <v>211</v>
      </c>
      <c r="K21" s="22" t="str">
        <f>IF($L21="","",$C21&amp;"-"&amp;TEXT(COUNTIFS($C$6:$C21,$C21),"00"))</f>
        <v/>
      </c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25">
        <f>IF(OR($Q21="",$Q21=0,$P21=""),0,ROUND($P21*$Q21*IFERROR(IF($R21="건별/비정기",$T21,VLOOKUP($R21,'04.코드표'!$K$5:$L$8,2,FALSE)*$S21),0)/60,1))</f>
        <v>0</v>
      </c>
      <c r="AI21" s="25">
        <f>IF(OR($AD21="",$AD21=0,$AC21=""),0,ROUND($AC21*$AD21*IFERROR(IF($R21="건별/비정기",$T21,VLOOKUP($R21,'04.코드표'!$K$5:$L$8,2,FALSE)*$S21),0)/60,1))</f>
        <v>0</v>
      </c>
      <c r="AJ21" s="25" t="str">
        <f t="shared" si="0"/>
        <v/>
      </c>
      <c r="AK21" s="26" t="str">
        <f>IF($L21="","",ROUND($AJ21/'04.코드표'!$L$11,2))</f>
        <v/>
      </c>
      <c r="AL21" s="11"/>
      <c r="AM21" s="11"/>
      <c r="AN21" s="11"/>
      <c r="AO21" s="11"/>
      <c r="AP21" s="22" t="str">
        <f t="shared" si="1"/>
        <v/>
      </c>
      <c r="AQ21" s="22" t="str">
        <f t="shared" si="2"/>
        <v/>
      </c>
      <c r="AR21" s="22" t="str">
        <f t="shared" si="3"/>
        <v/>
      </c>
      <c r="AS21" s="27" t="str">
        <f t="shared" si="4"/>
        <v/>
      </c>
      <c r="AT21" s="11"/>
      <c r="AU21" s="11"/>
      <c r="AV21" s="28" t="str">
        <f t="shared" si="5"/>
        <v/>
      </c>
      <c r="AW21" s="28" t="str">
        <f t="shared" si="6"/>
        <v/>
      </c>
      <c r="AX21" s="28" t="str">
        <f t="shared" si="7"/>
        <v>경쟁사 상품 비교 분석</v>
      </c>
      <c r="AY21" s="28" t="str">
        <f>IF($L21="","",IF(SUMPRODUCT(--ISNUMBER(SEARCH({"조회","수집","추출","검색","파악","취합","조달","접수","연계","연동","선별","확보","입수","조사","식별","검출","감지","스크랩","필터링"},$AV21)))&gt;0,"조회",IF(SUMPRODUCT(--ISNUMBER(SEARCH({"검토","검증","판정","판별","확인","승인","선정","대조","점검","분류","확정","평가","판단","심사","검수","비교","결정","구분","진단","판독","협의"},$AV21)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21)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21)))&gt;0,"작성","기타")))))</f>
        <v/>
      </c>
      <c r="AZ21" s="28" t="str">
        <f t="shared" si="8"/>
        <v/>
      </c>
      <c r="BA21" s="28">
        <f t="shared" si="9"/>
        <v>0</v>
      </c>
      <c r="BB21" s="28" t="str">
        <f>IF($L21="","",IF(AND($AX21&lt;&gt;"",ISNUMBER(SEARCH($AX21,$AW21))),"L5 이름을 그대로 씀 · ","")&amp;IF(AND($L21&lt;&gt;"",$L21=$Z21),"개선 후 설명이 똑같음 · ","")&amp;IF(COUNTIFS($C$6:$C$62,$C21,$L$6:$L$62,$L21)&gt;1,"같은 내용이 또 있음 · ","")&amp;IF(AND($U21&lt;&gt;"",$U21=$V21),"필요 자료와 산출물이 같음 · ","")&amp;IF(AND($C21=$C5,$V5&lt;&gt;"",$U21&lt;&gt;"",ISERROR(SEARCH(SUBSTITUTE($V5,CHAR(10)," "),SUBSTITUTE($U21,CHAR(10)," "))),ISERROR(SEARCH(SUBSTITUTE($U21,CHAR(10)," "),SUBSTITUTE($V5,CHAR(10)," ")))),"앞 산출물과 이어지지 않음 · ","")&amp;IF(SUMPRODUCT(--ISNUMBER(SEARCH({"관리한다","처리한다","수행한다","진행한다"},$AW21)))&gt;0,"뭉뚱그린 동사 · ","")&amp;IF(ISNUMBER(SEARCH("하고 ",$AW21)),"한 줄에 동작 2개 · ","")&amp;IF(RIGHT($L21,2)&lt;&gt;"한다","~한다 로 안 끝남 · ","")&amp;IF(AND($P21&lt;&gt;"",N($P21)&gt;60),"1건 60분 넘음 — 더 쪼개세요 · ","")&amp;IF(AND($AA21="AI",$AD21&lt;&gt;"",N($AD21)&gt;0),"AI 혼자 하는데 사람 인원 있음 · ","")&amp;IF(AND($AA21="AI+사람",$AD21&lt;&gt;"",N($AD21)=0),"사람이 확인한다는데 인원 0 · ","")&amp;IF(AND($X21="유지",$Y21="AI"),"그대로 두는데 AI 를 쓴다고 함 · ","")&amp;IF(AND($X21="신설",COUNT($P21,$Q21)&gt;0),"새로 생기는 일인데 현재 공수가 있음 · ","")&amp;IF(AND($X21="삭제",COUNT($AC21,$AD21)&gt;0),"없애는 일인데 개선 후 공수가 있음 · ","")&amp;IF(AND($X21&lt;&gt;"신설",N($AH21)&gt;0,N($AI21)&gt;N($AH21)),"개선 후가 지금보다 더 오래 걸림 · ",""))</f>
        <v/>
      </c>
      <c r="BC21" s="28">
        <f t="shared" si="10"/>
        <v>0</v>
      </c>
    </row>
    <row r="22" spans="2:55" ht="21.6" customHeight="1" x14ac:dyDescent="0.3">
      <c r="B22" s="11">
        <v>17</v>
      </c>
      <c r="C22" s="11" t="s">
        <v>212</v>
      </c>
      <c r="D22" s="11" t="s">
        <v>119</v>
      </c>
      <c r="E22" s="11" t="s">
        <v>32</v>
      </c>
      <c r="F22" s="11" t="s">
        <v>120</v>
      </c>
      <c r="G22" s="11" t="s">
        <v>121</v>
      </c>
      <c r="H22" s="11" t="s">
        <v>160</v>
      </c>
      <c r="I22" s="11" t="s">
        <v>213</v>
      </c>
      <c r="J22" s="11" t="s">
        <v>214</v>
      </c>
      <c r="K22" s="22" t="str">
        <f>IF($L22="","",$C22&amp;"-"&amp;TEXT(COUNTIFS($C$6:$C22,$C22),"00"))</f>
        <v/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25">
        <f>IF(OR($Q22="",$Q22=0,$P22=""),0,ROUND($P22*$Q22*IFERROR(IF($R22="건별/비정기",$T22,VLOOKUP($R22,'04.코드표'!$K$5:$L$8,2,FALSE)*$S22),0)/60,1))</f>
        <v>0</v>
      </c>
      <c r="AI22" s="25">
        <f>IF(OR($AD22="",$AD22=0,$AC22=""),0,ROUND($AC22*$AD22*IFERROR(IF($R22="건별/비정기",$T22,VLOOKUP($R22,'04.코드표'!$K$5:$L$8,2,FALSE)*$S22),0)/60,1))</f>
        <v>0</v>
      </c>
      <c r="AJ22" s="25" t="str">
        <f t="shared" si="0"/>
        <v/>
      </c>
      <c r="AK22" s="26" t="str">
        <f>IF($L22="","",ROUND($AJ22/'04.코드표'!$L$11,2))</f>
        <v/>
      </c>
      <c r="AL22" s="11"/>
      <c r="AM22" s="11"/>
      <c r="AN22" s="11"/>
      <c r="AO22" s="11"/>
      <c r="AP22" s="22" t="str">
        <f t="shared" si="1"/>
        <v/>
      </c>
      <c r="AQ22" s="22" t="str">
        <f t="shared" si="2"/>
        <v/>
      </c>
      <c r="AR22" s="22" t="str">
        <f t="shared" si="3"/>
        <v/>
      </c>
      <c r="AS22" s="27" t="str">
        <f t="shared" si="4"/>
        <v/>
      </c>
      <c r="AT22" s="11"/>
      <c r="AU22" s="11"/>
      <c r="AV22" s="28" t="str">
        <f t="shared" si="5"/>
        <v/>
      </c>
      <c r="AW22" s="28" t="str">
        <f t="shared" si="6"/>
        <v/>
      </c>
      <c r="AX22" s="28" t="str">
        <f t="shared" si="7"/>
        <v>고객분석 시사점 도출</v>
      </c>
      <c r="AY22" s="28" t="str">
        <f>IF($L22="","",IF(SUMPRODUCT(--ISNUMBER(SEARCH({"조회","수집","추출","검색","파악","취합","조달","접수","연계","연동","선별","확보","입수","조사","식별","검출","감지","스크랩","필터링"},$AV22)))&gt;0,"조회",IF(SUMPRODUCT(--ISNUMBER(SEARCH({"검토","검증","판정","판별","확인","승인","선정","대조","점검","분류","확정","평가","판단","심사","검수","비교","결정","구분","진단","판독","협의"},$AV22)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22)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22)))&gt;0,"작성","기타")))))</f>
        <v/>
      </c>
      <c r="AZ22" s="28" t="str">
        <f t="shared" si="8"/>
        <v/>
      </c>
      <c r="BA22" s="28">
        <f t="shared" si="9"/>
        <v>0</v>
      </c>
      <c r="BB22" s="28" t="str">
        <f>IF($L22="","",IF(AND($AX22&lt;&gt;"",ISNUMBER(SEARCH($AX22,$AW22))),"L5 이름을 그대로 씀 · ","")&amp;IF(AND($L22&lt;&gt;"",$L22=$Z22),"개선 후 설명이 똑같음 · ","")&amp;IF(COUNTIFS($C$6:$C$62,$C22,$L$6:$L$62,$L22)&gt;1,"같은 내용이 또 있음 · ","")&amp;IF(AND($U22&lt;&gt;"",$U22=$V22),"필요 자료와 산출물이 같음 · ","")&amp;IF(AND($C22=$C5,$V5&lt;&gt;"",$U22&lt;&gt;"",ISERROR(SEARCH(SUBSTITUTE($V5,CHAR(10)," "),SUBSTITUTE($U22,CHAR(10)," "))),ISERROR(SEARCH(SUBSTITUTE($U22,CHAR(10)," "),SUBSTITUTE($V5,CHAR(10)," ")))),"앞 산출물과 이어지지 않음 · ","")&amp;IF(SUMPRODUCT(--ISNUMBER(SEARCH({"관리한다","처리한다","수행한다","진행한다"},$AW22)))&gt;0,"뭉뚱그린 동사 · ","")&amp;IF(ISNUMBER(SEARCH("하고 ",$AW22)),"한 줄에 동작 2개 · ","")&amp;IF(RIGHT($L22,2)&lt;&gt;"한다","~한다 로 안 끝남 · ","")&amp;IF(AND($P22&lt;&gt;"",N($P22)&gt;60),"1건 60분 넘음 — 더 쪼개세요 · ","")&amp;IF(AND($AA22="AI",$AD22&lt;&gt;"",N($AD22)&gt;0),"AI 혼자 하는데 사람 인원 있음 · ","")&amp;IF(AND($AA22="AI+사람",$AD22&lt;&gt;"",N($AD22)=0),"사람이 확인한다는데 인원 0 · ","")&amp;IF(AND($X22="유지",$Y22="AI"),"그대로 두는데 AI 를 쓴다고 함 · ","")&amp;IF(AND($X22="신설",COUNT($P22,$Q22)&gt;0),"새로 생기는 일인데 현재 공수가 있음 · ","")&amp;IF(AND($X22="삭제",COUNT($AC22,$AD22)&gt;0),"없애는 일인데 개선 후 공수가 있음 · ","")&amp;IF(AND($X22&lt;&gt;"신설",N($AH22)&gt;0,N($AI22)&gt;N($AH22)),"개선 후가 지금보다 더 오래 걸림 · ",""))</f>
        <v/>
      </c>
      <c r="BC22" s="28">
        <f t="shared" si="10"/>
        <v>0</v>
      </c>
    </row>
    <row r="23" spans="2:55" ht="37.15" customHeight="1" x14ac:dyDescent="0.3">
      <c r="B23" s="20">
        <v>18</v>
      </c>
      <c r="C23" s="21" t="s">
        <v>215</v>
      </c>
      <c r="D23" s="21" t="s">
        <v>119</v>
      </c>
      <c r="E23" s="21" t="s">
        <v>32</v>
      </c>
      <c r="F23" s="21" t="s">
        <v>120</v>
      </c>
      <c r="G23" s="21" t="s">
        <v>121</v>
      </c>
      <c r="H23" s="21" t="s">
        <v>160</v>
      </c>
      <c r="I23" s="21" t="s">
        <v>216</v>
      </c>
      <c r="J23" s="21" t="s">
        <v>217</v>
      </c>
      <c r="K23" s="22" t="str">
        <f>IF($L23="","",$C23&amp;"-"&amp;TEXT(COUNTIFS($C$6:$C23,$C23),"00"))</f>
        <v>1.1.3.20.1-01</v>
      </c>
      <c r="L23" s="21" t="s">
        <v>218</v>
      </c>
      <c r="M23" s="23"/>
      <c r="N23" s="20" t="s">
        <v>126</v>
      </c>
      <c r="O23" s="23"/>
      <c r="P23" s="24">
        <v>25</v>
      </c>
      <c r="Q23" s="24"/>
      <c r="R23" s="24"/>
      <c r="S23" s="24"/>
      <c r="T23" s="24"/>
      <c r="U23" s="21" t="s">
        <v>219</v>
      </c>
      <c r="V23" s="21" t="s">
        <v>220</v>
      </c>
      <c r="W23" s="20" t="s">
        <v>129</v>
      </c>
      <c r="X23" s="20" t="s">
        <v>130</v>
      </c>
      <c r="Y23" s="20" t="s">
        <v>46</v>
      </c>
      <c r="Z23" s="21" t="s">
        <v>221</v>
      </c>
      <c r="AA23" s="20" t="s">
        <v>46</v>
      </c>
      <c r="AB23" s="23"/>
      <c r="AC23" s="24"/>
      <c r="AD23" s="24"/>
      <c r="AE23" s="21" t="s">
        <v>219</v>
      </c>
      <c r="AF23" s="21" t="s">
        <v>220</v>
      </c>
      <c r="AG23" s="20" t="s">
        <v>132</v>
      </c>
      <c r="AH23" s="25">
        <f>IF(OR($Q23="",$Q23=0,$P23=""),0,ROUND($P23*$Q23*IFERROR(IF($R23="건별/비정기",$T23,VLOOKUP($R23,'04.코드표'!$K$5:$L$8,2,FALSE)*$S23),0)/60,1))</f>
        <v>0</v>
      </c>
      <c r="AI23" s="25">
        <f>IF(OR($AD23="",$AD23=0,$AC23=""),0,ROUND($AC23*$AD23*IFERROR(IF($R23="건별/비정기",$T23,VLOOKUP($R23,'04.코드표'!$K$5:$L$8,2,FALSE)*$S23),0)/60,1))</f>
        <v>0</v>
      </c>
      <c r="AJ23" s="25">
        <f t="shared" si="0"/>
        <v>0</v>
      </c>
      <c r="AK23" s="26">
        <f>IF($L23="","",ROUND($AJ23/'04.코드표'!$L$11,2))</f>
        <v>0</v>
      </c>
      <c r="AL23" s="20" t="s">
        <v>133</v>
      </c>
      <c r="AM23" s="21" t="s">
        <v>222</v>
      </c>
      <c r="AN23" s="23"/>
      <c r="AO23" s="23" t="s">
        <v>982</v>
      </c>
      <c r="AP23" s="22">
        <f t="shared" si="1"/>
        <v>4</v>
      </c>
      <c r="AQ23" s="22" t="str">
        <f t="shared" si="2"/>
        <v>○ 좋음 (하는 일 4가지)</v>
      </c>
      <c r="AR23" s="22" t="str">
        <f t="shared" si="3"/>
        <v>⚠ 4칸 비었음</v>
      </c>
      <c r="AS23" s="27" t="str">
        <f t="shared" si="4"/>
        <v>○ 문제 없음</v>
      </c>
      <c r="AT23" s="23"/>
      <c r="AU23" s="23"/>
      <c r="AV23" s="28" t="str">
        <f t="shared" si="5"/>
        <v>스크랩한다</v>
      </c>
      <c r="AW23" s="28" t="str">
        <f t="shared" si="6"/>
        <v>알람 및 SI시장 관련 기사를 주요 일간지와 유관 기관 사이트에서 스크랩한다</v>
      </c>
      <c r="AX23" s="28" t="str">
        <f t="shared" si="7"/>
        <v>일간 MI뉴스 작성</v>
      </c>
      <c r="AY23" s="28" t="str">
        <f>IF($L23="","",IF(SUMPRODUCT(--ISNUMBER(SEARCH({"조회","수집","추출","검색","파악","취합","조달","접수","연계","연동","선별","확보","입수","조사","식별","검출","감지","스크랩","필터링"},$AV23)))&gt;0,"조회",IF(SUMPRODUCT(--ISNUMBER(SEARCH({"검토","검증","판정","판별","확인","승인","선정","대조","점검","분류","확정","평가","판단","심사","검수","비교","결정","구분","진단","판독","협의"},$AV23)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23)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23)))&gt;0,"작성","기타")))))</f>
        <v>조회</v>
      </c>
      <c r="AZ23" s="28">
        <f t="shared" si="8"/>
        <v>4</v>
      </c>
      <c r="BA23" s="28">
        <f t="shared" si="9"/>
        <v>4</v>
      </c>
      <c r="BB23" s="28" t="str">
        <f>IF($L23="","",IF(AND($AX23&lt;&gt;"",ISNUMBER(SEARCH($AX23,$AW23))),"L5 이름을 그대로 씀 · ","")&amp;IF(AND($L23&lt;&gt;"",$L23=$Z23),"개선 후 설명이 똑같음 · ","")&amp;IF(COUNTIFS($C$6:$C$62,$C23,$L$6:$L$62,$L23)&gt;1,"같은 내용이 또 있음 · ","")&amp;IF(AND($U23&lt;&gt;"",$U23=$V23),"필요 자료와 산출물이 같음 · ","")&amp;IF(AND($C23=$C5,$V5&lt;&gt;"",$U23&lt;&gt;"",ISERROR(SEARCH(SUBSTITUTE($V5,CHAR(10)," "),SUBSTITUTE($U23,CHAR(10)," "))),ISERROR(SEARCH(SUBSTITUTE($U23,CHAR(10)," "),SUBSTITUTE($V5,CHAR(10)," ")))),"앞 산출물과 이어지지 않음 · ","")&amp;IF(SUMPRODUCT(--ISNUMBER(SEARCH({"관리한다","처리한다","수행한다","진행한다"},$AW23)))&gt;0,"뭉뚱그린 동사 · ","")&amp;IF(ISNUMBER(SEARCH("하고 ",$AW23)),"한 줄에 동작 2개 · ","")&amp;IF(RIGHT($L23,2)&lt;&gt;"한다","~한다 로 안 끝남 · ","")&amp;IF(AND($P23&lt;&gt;"",N($P23)&gt;60),"1건 60분 넘음 — 더 쪼개세요 · ","")&amp;IF(AND($AA23="AI",$AD23&lt;&gt;"",N($AD23)&gt;0),"AI 혼자 하는데 사람 인원 있음 · ","")&amp;IF(AND($AA23="AI+사람",$AD23&lt;&gt;"",N($AD23)=0),"사람이 확인한다는데 인원 0 · ","")&amp;IF(AND($X23="유지",$Y23="AI"),"그대로 두는데 AI 를 쓴다고 함 · ","")&amp;IF(AND($X23="신설",COUNT($P23,$Q23)&gt;0),"새로 생기는 일인데 현재 공수가 있음 · ","")&amp;IF(AND($X23="삭제",COUNT($AC23,$AD23)&gt;0),"없애는 일인데 개선 후 공수가 있음 · ","")&amp;IF(AND($X23&lt;&gt;"신설",N($AH23)&gt;0,N($AI23)&gt;N($AH23)),"개선 후가 지금보다 더 오래 걸림 · ",""))</f>
        <v/>
      </c>
      <c r="BC23" s="28">
        <f t="shared" si="10"/>
        <v>0.25</v>
      </c>
    </row>
    <row r="24" spans="2:55" ht="37.15" customHeight="1" x14ac:dyDescent="0.3">
      <c r="B24" s="20">
        <v>19</v>
      </c>
      <c r="C24" s="21" t="s">
        <v>215</v>
      </c>
      <c r="D24" s="21" t="s">
        <v>119</v>
      </c>
      <c r="E24" s="21" t="s">
        <v>32</v>
      </c>
      <c r="F24" s="21" t="s">
        <v>120</v>
      </c>
      <c r="G24" s="21" t="s">
        <v>121</v>
      </c>
      <c r="H24" s="21" t="s">
        <v>160</v>
      </c>
      <c r="I24" s="21" t="s">
        <v>216</v>
      </c>
      <c r="J24" s="21" t="s">
        <v>217</v>
      </c>
      <c r="K24" s="22" t="str">
        <f>IF($L24="","",$C24&amp;"-"&amp;TEXT(COUNTIFS($C$6:$C24,$C24),"00"))</f>
        <v>1.1.3.20.1-02</v>
      </c>
      <c r="L24" s="21" t="s">
        <v>223</v>
      </c>
      <c r="M24" s="23"/>
      <c r="N24" s="20" t="s">
        <v>126</v>
      </c>
      <c r="O24" s="23"/>
      <c r="P24" s="24">
        <v>15</v>
      </c>
      <c r="Q24" s="24"/>
      <c r="R24" s="24"/>
      <c r="S24" s="24"/>
      <c r="T24" s="24"/>
      <c r="U24" s="21" t="s">
        <v>220</v>
      </c>
      <c r="V24" s="21" t="s">
        <v>224</v>
      </c>
      <c r="W24" s="20" t="s">
        <v>142</v>
      </c>
      <c r="X24" s="20" t="s">
        <v>130</v>
      </c>
      <c r="Y24" s="20" t="s">
        <v>46</v>
      </c>
      <c r="Z24" s="21" t="s">
        <v>225</v>
      </c>
      <c r="AA24" s="20" t="s">
        <v>46</v>
      </c>
      <c r="AB24" s="23"/>
      <c r="AC24" s="24"/>
      <c r="AD24" s="24"/>
      <c r="AE24" s="21" t="s">
        <v>220</v>
      </c>
      <c r="AF24" s="21" t="s">
        <v>224</v>
      </c>
      <c r="AG24" s="20" t="s">
        <v>132</v>
      </c>
      <c r="AH24" s="25">
        <f>IF(OR($Q24="",$Q24=0,$P24=""),0,ROUND($P24*$Q24*IFERROR(IF($R24="건별/비정기",$T24,VLOOKUP($R24,'04.코드표'!$K$5:$L$8,2,FALSE)*$S24),0)/60,1))</f>
        <v>0</v>
      </c>
      <c r="AI24" s="25">
        <f>IF(OR($AD24="",$AD24=0,$AC24=""),0,ROUND($AC24*$AD24*IFERROR(IF($R24="건별/비정기",$T24,VLOOKUP($R24,'04.코드표'!$K$5:$L$8,2,FALSE)*$S24),0)/60,1))</f>
        <v>0</v>
      </c>
      <c r="AJ24" s="25">
        <f t="shared" si="0"/>
        <v>0</v>
      </c>
      <c r="AK24" s="26">
        <f>IF($L24="","",ROUND($AJ24/'04.코드표'!$L$11,2))</f>
        <v>0</v>
      </c>
      <c r="AL24" s="20" t="s">
        <v>133</v>
      </c>
      <c r="AM24" s="21" t="s">
        <v>226</v>
      </c>
      <c r="AN24" s="23"/>
      <c r="AO24" s="23" t="s">
        <v>982</v>
      </c>
      <c r="AP24" s="22">
        <f t="shared" si="1"/>
        <v>4</v>
      </c>
      <c r="AQ24" s="22" t="str">
        <f t="shared" si="2"/>
        <v>○ 좋음 (하는 일 4가지)</v>
      </c>
      <c r="AR24" s="22" t="str">
        <f t="shared" si="3"/>
        <v>⚠ 4칸 비었음</v>
      </c>
      <c r="AS24" s="27" t="str">
        <f t="shared" si="4"/>
        <v>○ 문제 없음</v>
      </c>
      <c r="AT24" s="23"/>
      <c r="AU24" s="23"/>
      <c r="AV24" s="28" t="str">
        <f t="shared" si="5"/>
        <v>요약·번역한다</v>
      </c>
      <c r="AW24" s="28" t="str">
        <f t="shared" si="6"/>
        <v>스크랩한 기사를 요약·번역한다</v>
      </c>
      <c r="AX24" s="28" t="str">
        <f t="shared" si="7"/>
        <v>일간 MI뉴스 작성</v>
      </c>
      <c r="AY24" s="28" t="str">
        <f>IF($L24="","",IF(SUMPRODUCT(--ISNUMBER(SEARCH({"조회","수집","추출","검색","파악","취합","조달","접수","연계","연동","선별","확보","입수","조사","식별","검출","감지","스크랩","필터링"},$AV24)))&gt;0,"조회",IF(SUMPRODUCT(--ISNUMBER(SEARCH({"검토","검증","판정","판별","확인","승인","선정","대조","점검","분류","확정","평가","판단","심사","검수","비교","결정","구분","진단","판독","협의"},$AV24)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24)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24)))&gt;0,"작성","기타")))))</f>
        <v>작성</v>
      </c>
      <c r="AZ24" s="28">
        <f t="shared" si="8"/>
        <v>4</v>
      </c>
      <c r="BA24" s="28">
        <f t="shared" si="9"/>
        <v>4</v>
      </c>
      <c r="BB24" s="28" t="str">
        <f>IF($L24="","",IF(AND($AX24&lt;&gt;"",ISNUMBER(SEARCH($AX24,$AW24))),"L5 이름을 그대로 씀 · ","")&amp;IF(AND($L24&lt;&gt;"",$L24=$Z24),"개선 후 설명이 똑같음 · ","")&amp;IF(COUNTIFS($C$6:$C$62,$C24,$L$6:$L$62,$L24)&gt;1,"같은 내용이 또 있음 · ","")&amp;IF(AND($U24&lt;&gt;"",$U24=$V24),"필요 자료와 산출물이 같음 · ","")&amp;IF(AND($C24=$C5,$V5&lt;&gt;"",$U24&lt;&gt;"",ISERROR(SEARCH(SUBSTITUTE($V5,CHAR(10)," "),SUBSTITUTE($U24,CHAR(10)," "))),ISERROR(SEARCH(SUBSTITUTE($U24,CHAR(10)," "),SUBSTITUTE($V5,CHAR(10)," ")))),"앞 산출물과 이어지지 않음 · ","")&amp;IF(SUMPRODUCT(--ISNUMBER(SEARCH({"관리한다","처리한다","수행한다","진행한다"},$AW24)))&gt;0,"뭉뚱그린 동사 · ","")&amp;IF(ISNUMBER(SEARCH("하고 ",$AW24)),"한 줄에 동작 2개 · ","")&amp;IF(RIGHT($L24,2)&lt;&gt;"한다","~한다 로 안 끝남 · ","")&amp;IF(AND($P24&lt;&gt;"",N($P24)&gt;60),"1건 60분 넘음 — 더 쪼개세요 · ","")&amp;IF(AND($AA24="AI",$AD24&lt;&gt;"",N($AD24)&gt;0),"AI 혼자 하는데 사람 인원 있음 · ","")&amp;IF(AND($AA24="AI+사람",$AD24&lt;&gt;"",N($AD24)=0),"사람이 확인한다는데 인원 0 · ","")&amp;IF(AND($X24="유지",$Y24="AI"),"그대로 두는데 AI 를 쓴다고 함 · ","")&amp;IF(AND($X24="신설",COUNT($P24,$Q24)&gt;0),"새로 생기는 일인데 현재 공수가 있음 · ","")&amp;IF(AND($X24="삭제",COUNT($AC24,$AD24)&gt;0),"없애는 일인데 개선 후 공수가 있음 · ","")&amp;IF(AND($X24&lt;&gt;"신설",N($AH24)&gt;0,N($AI24)&gt;N($AH24)),"개선 후가 지금보다 더 오래 걸림 · ",""))</f>
        <v/>
      </c>
      <c r="BC24" s="28">
        <f t="shared" si="10"/>
        <v>0.25</v>
      </c>
    </row>
    <row r="25" spans="2:55" ht="37.15" customHeight="1" x14ac:dyDescent="0.3">
      <c r="B25" s="20">
        <v>20</v>
      </c>
      <c r="C25" s="21" t="s">
        <v>215</v>
      </c>
      <c r="D25" s="21" t="s">
        <v>119</v>
      </c>
      <c r="E25" s="21" t="s">
        <v>32</v>
      </c>
      <c r="F25" s="21" t="s">
        <v>120</v>
      </c>
      <c r="G25" s="21" t="s">
        <v>121</v>
      </c>
      <c r="H25" s="21" t="s">
        <v>160</v>
      </c>
      <c r="I25" s="21" t="s">
        <v>216</v>
      </c>
      <c r="J25" s="21" t="s">
        <v>217</v>
      </c>
      <c r="K25" s="22" t="str">
        <f>IF($L25="","",$C25&amp;"-"&amp;TEXT(COUNTIFS($C$6:$C25,$C25),"00"))</f>
        <v>1.1.3.20.1-03</v>
      </c>
      <c r="L25" s="21" t="s">
        <v>227</v>
      </c>
      <c r="M25" s="23" t="s">
        <v>228</v>
      </c>
      <c r="N25" s="20" t="s">
        <v>126</v>
      </c>
      <c r="O25" s="23"/>
      <c r="P25" s="24">
        <v>5</v>
      </c>
      <c r="Q25" s="24"/>
      <c r="R25" s="24"/>
      <c r="S25" s="24"/>
      <c r="T25" s="24"/>
      <c r="U25" s="21" t="s">
        <v>229</v>
      </c>
      <c r="V25" s="21" t="s">
        <v>230</v>
      </c>
      <c r="W25" s="20" t="s">
        <v>142</v>
      </c>
      <c r="X25" s="20" t="s">
        <v>130</v>
      </c>
      <c r="Y25" s="20" t="s">
        <v>46</v>
      </c>
      <c r="Z25" s="21" t="s">
        <v>231</v>
      </c>
      <c r="AA25" s="20" t="s">
        <v>144</v>
      </c>
      <c r="AB25" s="23"/>
      <c r="AC25" s="24"/>
      <c r="AD25" s="24"/>
      <c r="AE25" s="21" t="s">
        <v>229</v>
      </c>
      <c r="AF25" s="21" t="s">
        <v>230</v>
      </c>
      <c r="AG25" s="20" t="s">
        <v>132</v>
      </c>
      <c r="AH25" s="25">
        <f>IF(OR($Q25="",$Q25=0,$P25=""),0,ROUND($P25*$Q25*IFERROR(IF($R25="건별/비정기",$T25,VLOOKUP($R25,'04.코드표'!$K$5:$L$8,2,FALSE)*$S25),0)/60,1))</f>
        <v>0</v>
      </c>
      <c r="AI25" s="25">
        <f>IF(OR($AD25="",$AD25=0,$AC25=""),0,ROUND($AC25*$AD25*IFERROR(IF($R25="건별/비정기",$T25,VLOOKUP($R25,'04.코드표'!$K$5:$L$8,2,FALSE)*$S25),0)/60,1))</f>
        <v>0</v>
      </c>
      <c r="AJ25" s="25">
        <f t="shared" si="0"/>
        <v>0</v>
      </c>
      <c r="AK25" s="26">
        <f>IF($L25="","",ROUND($AJ25/'04.코드표'!$L$11,2))</f>
        <v>0</v>
      </c>
      <c r="AL25" s="20" t="s">
        <v>145</v>
      </c>
      <c r="AM25" s="21" t="s">
        <v>232</v>
      </c>
      <c r="AN25" s="23"/>
      <c r="AO25" s="23" t="s">
        <v>982</v>
      </c>
      <c r="AP25" s="22">
        <f t="shared" si="1"/>
        <v>4</v>
      </c>
      <c r="AQ25" s="22" t="str">
        <f t="shared" si="2"/>
        <v>○ 좋음 (하는 일 4가지)</v>
      </c>
      <c r="AR25" s="22" t="str">
        <f t="shared" si="3"/>
        <v>⚠ 4칸 비었음</v>
      </c>
      <c r="AS25" s="27" t="str">
        <f t="shared" si="4"/>
        <v>○ 문제 없음</v>
      </c>
      <c r="AT25" s="23"/>
      <c r="AU25" s="23"/>
      <c r="AV25" s="28" t="str">
        <f t="shared" si="5"/>
        <v>선정한다</v>
      </c>
      <c r="AW25" s="28" t="str">
        <f t="shared" si="6"/>
        <v>정리된 기사 중 뉴스에 실을 대상을 선정한다</v>
      </c>
      <c r="AX25" s="28" t="str">
        <f t="shared" si="7"/>
        <v>일간 MI뉴스 작성</v>
      </c>
      <c r="AY25" s="28" t="str">
        <f>IF($L25="","",IF(SUMPRODUCT(--ISNUMBER(SEARCH({"조회","수집","추출","검색","파악","취합","조달","접수","연계","연동","선별","확보","입수","조사","식별","검출","감지","스크랩","필터링"},$AV25)))&gt;0,"조회",IF(SUMPRODUCT(--ISNUMBER(SEARCH({"검토","검증","판정","판별","확인","승인","선정","대조","점검","분류","확정","평가","판단","심사","검수","비교","결정","구분","진단","판독","협의"},$AV25)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25)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25)))&gt;0,"작성","기타")))))</f>
        <v>검증</v>
      </c>
      <c r="AZ25" s="28">
        <f t="shared" si="8"/>
        <v>4</v>
      </c>
      <c r="BA25" s="28">
        <f t="shared" si="9"/>
        <v>4</v>
      </c>
      <c r="BB25" s="28" t="str">
        <f>IF($L25="","",IF(AND($AX25&lt;&gt;"",ISNUMBER(SEARCH($AX25,$AW25))),"L5 이름을 그대로 씀 · ","")&amp;IF(AND($L25&lt;&gt;"",$L25=$Z25),"개선 후 설명이 똑같음 · ","")&amp;IF(COUNTIFS($C$6:$C$62,$C25,$L$6:$L$62,$L25)&gt;1,"같은 내용이 또 있음 · ","")&amp;IF(AND($U25&lt;&gt;"",$U25=$V25),"필요 자료와 산출물이 같음 · ","")&amp;IF(AND($C25=$C5,$V5&lt;&gt;"",$U25&lt;&gt;"",ISERROR(SEARCH(SUBSTITUTE($V5,CHAR(10)," "),SUBSTITUTE($U25,CHAR(10)," "))),ISERROR(SEARCH(SUBSTITUTE($U25,CHAR(10)," "),SUBSTITUTE($V5,CHAR(10)," ")))),"앞 산출물과 이어지지 않음 · ","")&amp;IF(SUMPRODUCT(--ISNUMBER(SEARCH({"관리한다","처리한다","수행한다","진행한다"},$AW25)))&gt;0,"뭉뚱그린 동사 · ","")&amp;IF(ISNUMBER(SEARCH("하고 ",$AW25)),"한 줄에 동작 2개 · ","")&amp;IF(RIGHT($L25,2)&lt;&gt;"한다","~한다 로 안 끝남 · ","")&amp;IF(AND($P25&lt;&gt;"",N($P25)&gt;60),"1건 60분 넘음 — 더 쪼개세요 · ","")&amp;IF(AND($AA25="AI",$AD25&lt;&gt;"",N($AD25)&gt;0),"AI 혼자 하는데 사람 인원 있음 · ","")&amp;IF(AND($AA25="AI+사람",$AD25&lt;&gt;"",N($AD25)=0),"사람이 확인한다는데 인원 0 · ","")&amp;IF(AND($X25="유지",$Y25="AI"),"그대로 두는데 AI 를 쓴다고 함 · ","")&amp;IF(AND($X25="신설",COUNT($P25,$Q25)&gt;0),"새로 생기는 일인데 현재 공수가 있음 · ","")&amp;IF(AND($X25="삭제",COUNT($AC25,$AD25)&gt;0),"없애는 일인데 개선 후 공수가 있음 · ","")&amp;IF(AND($X25&lt;&gt;"신설",N($AH25)&gt;0,N($AI25)&gt;N($AH25)),"개선 후가 지금보다 더 오래 걸림 · ",""))</f>
        <v/>
      </c>
      <c r="BC25" s="28">
        <f t="shared" si="10"/>
        <v>0.25</v>
      </c>
    </row>
    <row r="26" spans="2:55" ht="37.15" customHeight="1" x14ac:dyDescent="0.3">
      <c r="B26" s="20">
        <v>21</v>
      </c>
      <c r="C26" s="21" t="s">
        <v>215</v>
      </c>
      <c r="D26" s="21" t="s">
        <v>119</v>
      </c>
      <c r="E26" s="21" t="s">
        <v>32</v>
      </c>
      <c r="F26" s="21" t="s">
        <v>120</v>
      </c>
      <c r="G26" s="21" t="s">
        <v>121</v>
      </c>
      <c r="H26" s="21" t="s">
        <v>160</v>
      </c>
      <c r="I26" s="21" t="s">
        <v>216</v>
      </c>
      <c r="J26" s="21" t="s">
        <v>217</v>
      </c>
      <c r="K26" s="22" t="str">
        <f>IF($L26="","",$C26&amp;"-"&amp;TEXT(COUNTIFS($C$6:$C26,$C26),"00"))</f>
        <v>1.1.3.20.1-04</v>
      </c>
      <c r="L26" s="21" t="s">
        <v>233</v>
      </c>
      <c r="M26" s="23"/>
      <c r="N26" s="20" t="s">
        <v>126</v>
      </c>
      <c r="O26" s="23"/>
      <c r="P26" s="24">
        <v>0</v>
      </c>
      <c r="Q26" s="24"/>
      <c r="R26" s="24"/>
      <c r="S26" s="24"/>
      <c r="T26" s="24"/>
      <c r="U26" s="21" t="s">
        <v>230</v>
      </c>
      <c r="V26" s="21" t="s">
        <v>234</v>
      </c>
      <c r="W26" s="20" t="s">
        <v>235</v>
      </c>
      <c r="X26" s="20" t="s">
        <v>130</v>
      </c>
      <c r="Y26" s="20" t="s">
        <v>46</v>
      </c>
      <c r="Z26" s="21" t="s">
        <v>236</v>
      </c>
      <c r="AA26" s="20" t="s">
        <v>144</v>
      </c>
      <c r="AB26" s="23"/>
      <c r="AC26" s="24"/>
      <c r="AD26" s="24"/>
      <c r="AE26" s="21" t="s">
        <v>230</v>
      </c>
      <c r="AF26" s="21" t="s">
        <v>234</v>
      </c>
      <c r="AG26" s="20" t="s">
        <v>235</v>
      </c>
      <c r="AH26" s="25">
        <f>IF(OR($Q26="",$Q26=0,$P26=""),0,ROUND($P26*$Q26*IFERROR(IF($R26="건별/비정기",$T26,VLOOKUP($R26,'04.코드표'!$K$5:$L$8,2,FALSE)*$S26),0)/60,1))</f>
        <v>0</v>
      </c>
      <c r="AI26" s="25">
        <f>IF(OR($AD26="",$AD26=0,$AC26=""),0,ROUND($AC26*$AD26*IFERROR(IF($R26="건별/비정기",$T26,VLOOKUP($R26,'04.코드표'!$K$5:$L$8,2,FALSE)*$S26),0)/60,1))</f>
        <v>0</v>
      </c>
      <c r="AJ26" s="25">
        <f t="shared" si="0"/>
        <v>0</v>
      </c>
      <c r="AK26" s="26">
        <f>IF($L26="","",ROUND($AJ26/'04.코드표'!$L$11,2))</f>
        <v>0</v>
      </c>
      <c r="AL26" s="20" t="s">
        <v>133</v>
      </c>
      <c r="AM26" s="21" t="s">
        <v>237</v>
      </c>
      <c r="AN26" s="23"/>
      <c r="AO26" s="23" t="s">
        <v>982</v>
      </c>
      <c r="AP26" s="22">
        <f t="shared" si="1"/>
        <v>4</v>
      </c>
      <c r="AQ26" s="22" t="str">
        <f t="shared" si="2"/>
        <v>○ 좋음 (하는 일 4가지)</v>
      </c>
      <c r="AR26" s="22" t="str">
        <f t="shared" si="3"/>
        <v>⚠ 4칸 비었음</v>
      </c>
      <c r="AS26" s="27" t="str">
        <f t="shared" si="4"/>
        <v>○ 문제 없음</v>
      </c>
      <c r="AT26" s="23"/>
      <c r="AU26" s="23"/>
      <c r="AV26" s="28" t="str">
        <f t="shared" si="5"/>
        <v>발송한다</v>
      </c>
      <c r="AW26" s="28" t="str">
        <f t="shared" si="6"/>
        <v>확정된 일간 MI뉴스를 편집하여 발송한다</v>
      </c>
      <c r="AX26" s="28" t="str">
        <f t="shared" si="7"/>
        <v>일간 MI뉴스 작성</v>
      </c>
      <c r="AY26" s="28" t="str">
        <f>IF($L26="","",IF(SUMPRODUCT(--ISNUMBER(SEARCH({"조회","수집","추출","검색","파악","취합","조달","접수","연계","연동","선별","확보","입수","조사","식별","검출","감지","스크랩","필터링"},$AV26)))&gt;0,"조회",IF(SUMPRODUCT(--ISNUMBER(SEARCH({"검토","검증","판정","판별","확인","승인","선정","대조","점검","분류","확정","평가","판단","심사","검수","비교","결정","구분","진단","판독","협의"},$AV26)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26)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26)))&gt;0,"작성","기타")))))</f>
        <v>등록</v>
      </c>
      <c r="AZ26" s="28">
        <f t="shared" si="8"/>
        <v>4</v>
      </c>
      <c r="BA26" s="28">
        <f t="shared" si="9"/>
        <v>4</v>
      </c>
      <c r="BB26" s="28" t="str">
        <f>IF($L26="","",IF(AND($AX26&lt;&gt;"",ISNUMBER(SEARCH($AX26,$AW26))),"L5 이름을 그대로 씀 · ","")&amp;IF(AND($L26&lt;&gt;"",$L26=$Z26),"개선 후 설명이 똑같음 · ","")&amp;IF(COUNTIFS($C$6:$C$62,$C26,$L$6:$L$62,$L26)&gt;1,"같은 내용이 또 있음 · ","")&amp;IF(AND($U26&lt;&gt;"",$U26=$V26),"필요 자료와 산출물이 같음 · ","")&amp;IF(AND($C26=$C5,$V5&lt;&gt;"",$U26&lt;&gt;"",ISERROR(SEARCH(SUBSTITUTE($V5,CHAR(10)," "),SUBSTITUTE($U26,CHAR(10)," "))),ISERROR(SEARCH(SUBSTITUTE($U26,CHAR(10)," "),SUBSTITUTE($V5,CHAR(10)," ")))),"앞 산출물과 이어지지 않음 · ","")&amp;IF(SUMPRODUCT(--ISNUMBER(SEARCH({"관리한다","처리한다","수행한다","진행한다"},$AW26)))&gt;0,"뭉뚱그린 동사 · ","")&amp;IF(ISNUMBER(SEARCH("하고 ",$AW26)),"한 줄에 동작 2개 · ","")&amp;IF(RIGHT($L26,2)&lt;&gt;"한다","~한다 로 안 끝남 · ","")&amp;IF(AND($P26&lt;&gt;"",N($P26)&gt;60),"1건 60분 넘음 — 더 쪼개세요 · ","")&amp;IF(AND($AA26="AI",$AD26&lt;&gt;"",N($AD26)&gt;0),"AI 혼자 하는데 사람 인원 있음 · ","")&amp;IF(AND($AA26="AI+사람",$AD26&lt;&gt;"",N($AD26)=0),"사람이 확인한다는데 인원 0 · ","")&amp;IF(AND($X26="유지",$Y26="AI"),"그대로 두는데 AI 를 쓴다고 함 · ","")&amp;IF(AND($X26="신설",COUNT($P26,$Q26)&gt;0),"새로 생기는 일인데 현재 공수가 있음 · ","")&amp;IF(AND($X26="삭제",COUNT($AC26,$AD26)&gt;0),"없애는 일인데 개선 후 공수가 있음 · ","")&amp;IF(AND($X26&lt;&gt;"신설",N($AH26)&gt;0,N($AI26)&gt;N($AH26)),"개선 후가 지금보다 더 오래 걸림 · ",""))</f>
        <v/>
      </c>
      <c r="BC26" s="28">
        <f t="shared" si="10"/>
        <v>0.25</v>
      </c>
    </row>
    <row r="27" spans="2:55" ht="21.6" customHeight="1" x14ac:dyDescent="0.3">
      <c r="B27" s="11">
        <v>22</v>
      </c>
      <c r="C27" s="11" t="s">
        <v>238</v>
      </c>
      <c r="D27" s="11" t="s">
        <v>119</v>
      </c>
      <c r="E27" s="11" t="s">
        <v>32</v>
      </c>
      <c r="F27" s="11" t="s">
        <v>120</v>
      </c>
      <c r="G27" s="11" t="s">
        <v>121</v>
      </c>
      <c r="H27" s="11" t="s">
        <v>160</v>
      </c>
      <c r="I27" s="11" t="s">
        <v>216</v>
      </c>
      <c r="J27" s="11" t="s">
        <v>978</v>
      </c>
      <c r="K27" s="22" t="str">
        <f>IF($L27="","",$C27&amp;"-"&amp;TEXT(COUNTIFS($C$6:$C27,$C27),"00"))</f>
        <v/>
      </c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25">
        <f>IF(OR($Q27="",$Q27=0,$P27=""),0,ROUND($P27*$Q27*IFERROR(IF($R27="건별/비정기",$T27,VLOOKUP($R27,'04.코드표'!$K$5:$L$8,2,FALSE)*$S27),0)/60,1))</f>
        <v>0</v>
      </c>
      <c r="AI27" s="25">
        <f>IF(OR($AD27="",$AD27=0,$AC27=""),0,ROUND($AC27*$AD27*IFERROR(IF($R27="건별/비정기",$T27,VLOOKUP($R27,'04.코드표'!$K$5:$L$8,2,FALSE)*$S27),0)/60,1))</f>
        <v>0</v>
      </c>
      <c r="AJ27" s="25" t="str">
        <f t="shared" si="0"/>
        <v/>
      </c>
      <c r="AK27" s="26" t="str">
        <f>IF($L27="","",ROUND($AJ27/'04.코드표'!$L$11,2))</f>
        <v/>
      </c>
      <c r="AL27" s="11"/>
      <c r="AM27" s="11"/>
      <c r="AN27" s="11"/>
      <c r="AO27" s="11"/>
      <c r="AP27" s="22" t="str">
        <f t="shared" si="1"/>
        <v/>
      </c>
      <c r="AQ27" s="22" t="str">
        <f t="shared" si="2"/>
        <v/>
      </c>
      <c r="AR27" s="22" t="str">
        <f t="shared" si="3"/>
        <v/>
      </c>
      <c r="AS27" s="27" t="str">
        <f t="shared" si="4"/>
        <v/>
      </c>
      <c r="AT27" s="11"/>
      <c r="AU27" s="11"/>
      <c r="AV27" s="28" t="str">
        <f t="shared" si="5"/>
        <v/>
      </c>
      <c r="AW27" s="28" t="str">
        <f t="shared" si="6"/>
        <v/>
      </c>
      <c r="AX27" s="28" t="str">
        <f t="shared" si="7"/>
        <v>시장환경분석서작성</v>
      </c>
      <c r="AY27" s="28" t="str">
        <f>IF($L27="","",IF(SUMPRODUCT(--ISNUMBER(SEARCH({"조회","수집","추출","검색","파악","취합","조달","접수","연계","연동","선별","확보","입수","조사","식별","검출","감지","스크랩","필터링"},$AV27)))&gt;0,"조회",IF(SUMPRODUCT(--ISNUMBER(SEARCH({"검토","검증","판정","판별","확인","승인","선정","대조","점검","분류","확정","평가","판단","심사","검수","비교","결정","구분","진단","판독","협의"},$AV27)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27)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27)))&gt;0,"작성","기타")))))</f>
        <v/>
      </c>
      <c r="AZ27" s="28" t="str">
        <f t="shared" si="8"/>
        <v/>
      </c>
      <c r="BA27" s="28">
        <f t="shared" si="9"/>
        <v>0</v>
      </c>
      <c r="BB27" s="28" t="str">
        <f>IF($L27="","",IF(AND($AX27&lt;&gt;"",ISNUMBER(SEARCH($AX27,$AW27))),"L5 이름을 그대로 씀 · ","")&amp;IF(AND($L27&lt;&gt;"",$L27=$Z27),"개선 후 설명이 똑같음 · ","")&amp;IF(COUNTIFS($C$6:$C$62,$C27,$L$6:$L$62,$L27)&gt;1,"같은 내용이 또 있음 · ","")&amp;IF(AND($U27&lt;&gt;"",$U27=$V27),"필요 자료와 산출물이 같음 · ","")&amp;IF(AND($C27=$C5,$V5&lt;&gt;"",$U27&lt;&gt;"",ISERROR(SEARCH(SUBSTITUTE($V5,CHAR(10)," "),SUBSTITUTE($U27,CHAR(10)," "))),ISERROR(SEARCH(SUBSTITUTE($U27,CHAR(10)," "),SUBSTITUTE($V5,CHAR(10)," ")))),"앞 산출물과 이어지지 않음 · ","")&amp;IF(SUMPRODUCT(--ISNUMBER(SEARCH({"관리한다","처리한다","수행한다","진행한다"},$AW27)))&gt;0,"뭉뚱그린 동사 · ","")&amp;IF(ISNUMBER(SEARCH("하고 ",$AW27)),"한 줄에 동작 2개 · ","")&amp;IF(RIGHT($L27,2)&lt;&gt;"한다","~한다 로 안 끝남 · ","")&amp;IF(AND($P27&lt;&gt;"",N($P27)&gt;60),"1건 60분 넘음 — 더 쪼개세요 · ","")&amp;IF(AND($AA27="AI",$AD27&lt;&gt;"",N($AD27)&gt;0),"AI 혼자 하는데 사람 인원 있음 · ","")&amp;IF(AND($AA27="AI+사람",$AD27&lt;&gt;"",N($AD27)=0),"사람이 확인한다는데 인원 0 · ","")&amp;IF(AND($X27="유지",$Y27="AI"),"그대로 두는데 AI 를 쓴다고 함 · ","")&amp;IF(AND($X27="신설",COUNT($P27,$Q27)&gt;0),"새로 생기는 일인데 현재 공수가 있음 · ","")&amp;IF(AND($X27="삭제",COUNT($AC27,$AD27)&gt;0),"없애는 일인데 개선 후 공수가 있음 · ","")&amp;IF(AND($X27&lt;&gt;"신설",N($AH27)&gt;0,N($AI27)&gt;N($AH27)),"개선 후가 지금보다 더 오래 걸림 · ",""))</f>
        <v/>
      </c>
      <c r="BC27" s="28">
        <f t="shared" si="10"/>
        <v>0</v>
      </c>
    </row>
    <row r="28" spans="2:55" ht="37.15" customHeight="1" x14ac:dyDescent="0.3">
      <c r="B28" s="20">
        <v>23</v>
      </c>
      <c r="C28" s="21" t="s">
        <v>240</v>
      </c>
      <c r="D28" s="21" t="s">
        <v>119</v>
      </c>
      <c r="E28" s="21" t="s">
        <v>32</v>
      </c>
      <c r="F28" s="21" t="s">
        <v>120</v>
      </c>
      <c r="G28" s="21" t="s">
        <v>121</v>
      </c>
      <c r="H28" s="21" t="s">
        <v>160</v>
      </c>
      <c r="I28" s="21" t="s">
        <v>216</v>
      </c>
      <c r="J28" s="21" t="s">
        <v>241</v>
      </c>
      <c r="K28" s="22" t="str">
        <f>IF($L28="","",$C28&amp;"-"&amp;TEXT(COUNTIFS($C$6:$C28,$C28),"00"))</f>
        <v>1.1.3.20.3-01</v>
      </c>
      <c r="L28" s="21" t="s">
        <v>242</v>
      </c>
      <c r="M28" s="23"/>
      <c r="N28" s="20" t="s">
        <v>126</v>
      </c>
      <c r="O28" s="23"/>
      <c r="P28" s="24">
        <v>25</v>
      </c>
      <c r="Q28" s="24">
        <v>1</v>
      </c>
      <c r="R28" s="24" t="s">
        <v>945</v>
      </c>
      <c r="S28" s="24">
        <v>1</v>
      </c>
      <c r="T28" s="24">
        <v>0</v>
      </c>
      <c r="U28" s="21" t="s">
        <v>243</v>
      </c>
      <c r="V28" s="21" t="s">
        <v>244</v>
      </c>
      <c r="W28" s="20" t="s">
        <v>142</v>
      </c>
      <c r="X28" s="20" t="s">
        <v>130</v>
      </c>
      <c r="Y28" s="20" t="s">
        <v>46</v>
      </c>
      <c r="Z28" s="21" t="s">
        <v>245</v>
      </c>
      <c r="AA28" s="20" t="s">
        <v>46</v>
      </c>
      <c r="AB28" s="23"/>
      <c r="AC28" s="24"/>
      <c r="AD28" s="24"/>
      <c r="AE28" s="21" t="s">
        <v>243</v>
      </c>
      <c r="AF28" s="21" t="s">
        <v>244</v>
      </c>
      <c r="AG28" s="20" t="s">
        <v>132</v>
      </c>
      <c r="AH28" s="25">
        <f>IF(OR($Q28="",$Q28=0,$P28=""),0,ROUND($P28*$Q28*IFERROR(IF($R28="건별/비정기",$T28,VLOOKUP($R28,'04.코드표'!$K$5:$L$8,2,FALSE)*$S28),0)/60,1))</f>
        <v>104.2</v>
      </c>
      <c r="AI28" s="25">
        <f>IF(OR($AD28="",$AD28=0,$AC28=""),0,ROUND($AC28*$AD28*IFERROR(IF($R28="건별/비정기",$T28,VLOOKUP($R28,'04.코드표'!$K$5:$L$8,2,FALSE)*$S28),0)/60,1))</f>
        <v>0</v>
      </c>
      <c r="AJ28" s="25">
        <f t="shared" si="0"/>
        <v>104.2</v>
      </c>
      <c r="AK28" s="26">
        <f>IF($L28="","",ROUND($AJ28/'04.코드표'!$L$11,2))</f>
        <v>0.05</v>
      </c>
      <c r="AL28" s="20" t="s">
        <v>133</v>
      </c>
      <c r="AM28" s="21" t="s">
        <v>246</v>
      </c>
      <c r="AN28" s="23"/>
      <c r="AO28" s="23"/>
      <c r="AP28" s="22">
        <f t="shared" si="1"/>
        <v>5</v>
      </c>
      <c r="AQ28" s="22" t="str">
        <f t="shared" si="2"/>
        <v>○ 좋음 (하는 일 4가지)</v>
      </c>
      <c r="AR28" s="22" t="str">
        <f t="shared" si="3"/>
        <v>⚠ 2칸 비었음</v>
      </c>
      <c r="AS28" s="27" t="str">
        <f t="shared" si="4"/>
        <v>○ 문제 없음</v>
      </c>
      <c r="AT28" s="23"/>
      <c r="AU28" s="23"/>
      <c r="AV28" s="28" t="str">
        <f t="shared" si="5"/>
        <v>취합한다</v>
      </c>
      <c r="AW28" s="28" t="str">
        <f t="shared" si="6"/>
        <v>월간 주요 시장·경쟁사·고객 동향 정보를 취합한다</v>
      </c>
      <c r="AX28" s="28" t="str">
        <f t="shared" si="7"/>
        <v>월간 MI리포트 작성</v>
      </c>
      <c r="AY28" s="28" t="str">
        <f>IF($L28="","",IF(SUMPRODUCT(--ISNUMBER(SEARCH({"조회","수집","추출","검색","파악","취합","조달","접수","연계","연동","선별","확보","입수","조사","식별","검출","감지","스크랩","필터링"},$AV28)))&gt;0,"조회",IF(SUMPRODUCT(--ISNUMBER(SEARCH({"검토","검증","판정","판별","확인","승인","선정","대조","점검","분류","확정","평가","판단","심사","검수","비교","결정","구분","진단","판독","협의"},$AV28)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28)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28)))&gt;0,"작성","기타")))))</f>
        <v>조회</v>
      </c>
      <c r="AZ28" s="28">
        <f t="shared" si="8"/>
        <v>4</v>
      </c>
      <c r="BA28" s="28">
        <f t="shared" si="9"/>
        <v>2</v>
      </c>
      <c r="BB28" s="28" t="str">
        <f>IF($L28="","",IF(AND($AX28&lt;&gt;"",ISNUMBER(SEARCH($AX28,$AW28))),"L5 이름을 그대로 씀 · ","")&amp;IF(AND($L28&lt;&gt;"",$L28=$Z28),"개선 후 설명이 똑같음 · ","")&amp;IF(COUNTIFS($C$6:$C$62,$C28,$L$6:$L$62,$L28)&gt;1,"같은 내용이 또 있음 · ","")&amp;IF(AND($U28&lt;&gt;"",$U28=$V28),"필요 자료와 산출물이 같음 · ","")&amp;IF(AND($C28=$C5,$V5&lt;&gt;"",$U28&lt;&gt;"",ISERROR(SEARCH(SUBSTITUTE($V5,CHAR(10)," "),SUBSTITUTE($U28,CHAR(10)," "))),ISERROR(SEARCH(SUBSTITUTE($U28,CHAR(10)," "),SUBSTITUTE($V5,CHAR(10)," ")))),"앞 산출물과 이어지지 않음 · ","")&amp;IF(SUMPRODUCT(--ISNUMBER(SEARCH({"관리한다","처리한다","수행한다","진행한다"},$AW28)))&gt;0,"뭉뚱그린 동사 · ","")&amp;IF(ISNUMBER(SEARCH("하고 ",$AW28)),"한 줄에 동작 2개 · ","")&amp;IF(RIGHT($L28,2)&lt;&gt;"한다","~한다 로 안 끝남 · ","")&amp;IF(AND($P28&lt;&gt;"",N($P28)&gt;60),"1건 60분 넘음 — 더 쪼개세요 · ","")&amp;IF(AND($AA28="AI",$AD28&lt;&gt;"",N($AD28)&gt;0),"AI 혼자 하는데 사람 인원 있음 · ","")&amp;IF(AND($AA28="AI+사람",$AD28&lt;&gt;"",N($AD28)=0),"사람이 확인한다는데 인원 0 · ","")&amp;IF(AND($X28="유지",$Y28="AI"),"그대로 두는데 AI 를 쓴다고 함 · ","")&amp;IF(AND($X28="신설",COUNT($P28,$Q28)&gt;0),"새로 생기는 일인데 현재 공수가 있음 · ","")&amp;IF(AND($X28="삭제",COUNT($AC28,$AD28)&gt;0),"없애는 일인데 개선 후 공수가 있음 · ","")&amp;IF(AND($X28&lt;&gt;"신설",N($AH28)&gt;0,N($AI28)&gt;N($AH28)),"개선 후가 지금보다 더 오래 걸림 · ",""))</f>
        <v/>
      </c>
      <c r="BC28" s="28">
        <f t="shared" si="10"/>
        <v>0.2</v>
      </c>
    </row>
    <row r="29" spans="2:55" ht="37.15" customHeight="1" x14ac:dyDescent="0.3">
      <c r="B29" s="20">
        <v>24</v>
      </c>
      <c r="C29" s="21" t="s">
        <v>240</v>
      </c>
      <c r="D29" s="21" t="s">
        <v>119</v>
      </c>
      <c r="E29" s="21" t="s">
        <v>32</v>
      </c>
      <c r="F29" s="21" t="s">
        <v>120</v>
      </c>
      <c r="G29" s="21" t="s">
        <v>121</v>
      </c>
      <c r="H29" s="21" t="s">
        <v>160</v>
      </c>
      <c r="I29" s="21" t="s">
        <v>216</v>
      </c>
      <c r="J29" s="21" t="s">
        <v>241</v>
      </c>
      <c r="K29" s="22" t="str">
        <f>IF($L29="","",$C29&amp;"-"&amp;TEXT(COUNTIFS($C$6:$C29,$C29),"00"))</f>
        <v>1.1.3.20.3-02</v>
      </c>
      <c r="L29" s="21" t="s">
        <v>247</v>
      </c>
      <c r="M29" s="23"/>
      <c r="N29" s="20" t="s">
        <v>126</v>
      </c>
      <c r="O29" s="23"/>
      <c r="P29" s="24">
        <v>15</v>
      </c>
      <c r="Q29" s="24">
        <v>1</v>
      </c>
      <c r="R29" s="24" t="s">
        <v>951</v>
      </c>
      <c r="S29" s="24">
        <v>1</v>
      </c>
      <c r="T29" s="24">
        <v>0</v>
      </c>
      <c r="U29" s="21" t="s">
        <v>248</v>
      </c>
      <c r="V29" s="21" t="s">
        <v>249</v>
      </c>
      <c r="W29" s="20" t="s">
        <v>142</v>
      </c>
      <c r="X29" s="20" t="s">
        <v>130</v>
      </c>
      <c r="Y29" s="20" t="s">
        <v>46</v>
      </c>
      <c r="Z29" s="21" t="s">
        <v>250</v>
      </c>
      <c r="AA29" s="20" t="s">
        <v>46</v>
      </c>
      <c r="AB29" s="23"/>
      <c r="AC29" s="24"/>
      <c r="AD29" s="24"/>
      <c r="AE29" s="21" t="s">
        <v>248</v>
      </c>
      <c r="AF29" s="21" t="s">
        <v>249</v>
      </c>
      <c r="AG29" s="20" t="s">
        <v>132</v>
      </c>
      <c r="AH29" s="25">
        <f>IF(OR($Q29="",$Q29=0,$P29=""),0,ROUND($P29*$Q29*IFERROR(IF($R29="건별/비정기",$T29,VLOOKUP($R29,'04.코드표'!$K$5:$L$8,2,FALSE)*$S29),0)/60,1))</f>
        <v>13</v>
      </c>
      <c r="AI29" s="25">
        <f>IF(OR($AD29="",$AD29=0,$AC29=""),0,ROUND($AC29*$AD29*IFERROR(IF($R29="건별/비정기",$T29,VLOOKUP($R29,'04.코드표'!$K$5:$L$8,2,FALSE)*$S29),0)/60,1))</f>
        <v>0</v>
      </c>
      <c r="AJ29" s="25">
        <f t="shared" si="0"/>
        <v>13</v>
      </c>
      <c r="AK29" s="26">
        <f>IF($L29="","",ROUND($AJ29/'04.코드표'!$L$11,2))</f>
        <v>0.01</v>
      </c>
      <c r="AL29" s="20" t="s">
        <v>152</v>
      </c>
      <c r="AM29" s="21" t="s">
        <v>251</v>
      </c>
      <c r="AN29" s="23"/>
      <c r="AO29" s="23"/>
      <c r="AP29" s="22">
        <f t="shared" si="1"/>
        <v>5</v>
      </c>
      <c r="AQ29" s="22" t="str">
        <f t="shared" si="2"/>
        <v>○ 좋음 (하는 일 4가지)</v>
      </c>
      <c r="AR29" s="22" t="str">
        <f t="shared" si="3"/>
        <v>⚠ 2칸 비었음</v>
      </c>
      <c r="AS29" s="27" t="str">
        <f t="shared" si="4"/>
        <v>○ 문제 없음</v>
      </c>
      <c r="AT29" s="23"/>
      <c r="AU29" s="23"/>
      <c r="AV29" s="28" t="str">
        <f t="shared" si="5"/>
        <v>요약한다</v>
      </c>
      <c r="AW29" s="28" t="str">
        <f t="shared" si="6"/>
        <v>시장환경분석서의 주요 변동사항을 요약한다</v>
      </c>
      <c r="AX29" s="28" t="str">
        <f t="shared" si="7"/>
        <v>월간 MI리포트 작성</v>
      </c>
      <c r="AY29" s="28" t="str">
        <f>IF($L29="","",IF(SUMPRODUCT(--ISNUMBER(SEARCH({"조회","수집","추출","검색","파악","취합","조달","접수","연계","연동","선별","확보","입수","조사","식별","검출","감지","스크랩","필터링"},$AV29)))&gt;0,"조회",IF(SUMPRODUCT(--ISNUMBER(SEARCH({"검토","검증","판정","판별","확인","승인","선정","대조","점검","분류","확정","평가","판단","심사","검수","비교","결정","구분","진단","판독","협의"},$AV29)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29)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29)))&gt;0,"작성","기타")))))</f>
        <v>작성</v>
      </c>
      <c r="AZ29" s="28">
        <f t="shared" si="8"/>
        <v>4</v>
      </c>
      <c r="BA29" s="28">
        <f t="shared" si="9"/>
        <v>2</v>
      </c>
      <c r="BB29" s="28" t="str">
        <f>IF($L29="","",IF(AND($AX29&lt;&gt;"",ISNUMBER(SEARCH($AX29,$AW29))),"L5 이름을 그대로 씀 · ","")&amp;IF(AND($L29&lt;&gt;"",$L29=$Z29),"개선 후 설명이 똑같음 · ","")&amp;IF(COUNTIFS($C$6:$C$62,$C29,$L$6:$L$62,$L29)&gt;1,"같은 내용이 또 있음 · ","")&amp;IF(AND($U29&lt;&gt;"",$U29=$V29),"필요 자료와 산출물이 같음 · ","")&amp;IF(AND($C29=$C5,$V5&lt;&gt;"",$U29&lt;&gt;"",ISERROR(SEARCH(SUBSTITUTE($V5,CHAR(10)," "),SUBSTITUTE($U29,CHAR(10)," "))),ISERROR(SEARCH(SUBSTITUTE($U29,CHAR(10)," "),SUBSTITUTE($V5,CHAR(10)," ")))),"앞 산출물과 이어지지 않음 · ","")&amp;IF(SUMPRODUCT(--ISNUMBER(SEARCH({"관리한다","처리한다","수행한다","진행한다"},$AW29)))&gt;0,"뭉뚱그린 동사 · ","")&amp;IF(ISNUMBER(SEARCH("하고 ",$AW29)),"한 줄에 동작 2개 · ","")&amp;IF(RIGHT($L29,2)&lt;&gt;"한다","~한다 로 안 끝남 · ","")&amp;IF(AND($P29&lt;&gt;"",N($P29)&gt;60),"1건 60분 넘음 — 더 쪼개세요 · ","")&amp;IF(AND($AA29="AI",$AD29&lt;&gt;"",N($AD29)&gt;0),"AI 혼자 하는데 사람 인원 있음 · ","")&amp;IF(AND($AA29="AI+사람",$AD29&lt;&gt;"",N($AD29)=0),"사람이 확인한다는데 인원 0 · ","")&amp;IF(AND($X29="유지",$Y29="AI"),"그대로 두는데 AI 를 쓴다고 함 · ","")&amp;IF(AND($X29="신설",COUNT($P29,$Q29)&gt;0),"새로 생기는 일인데 현재 공수가 있음 · ","")&amp;IF(AND($X29="삭제",COUNT($AC29,$AD29)&gt;0),"없애는 일인데 개선 후 공수가 있음 · ","")&amp;IF(AND($X29&lt;&gt;"신설",N($AH29)&gt;0,N($AI29)&gt;N($AH29)),"개선 후가 지금보다 더 오래 걸림 · ",""))</f>
        <v/>
      </c>
      <c r="BC29" s="28">
        <f t="shared" si="10"/>
        <v>0.2</v>
      </c>
    </row>
    <row r="30" spans="2:55" ht="37.15" customHeight="1" x14ac:dyDescent="0.3">
      <c r="B30" s="20">
        <v>25</v>
      </c>
      <c r="C30" s="21" t="s">
        <v>240</v>
      </c>
      <c r="D30" s="21" t="s">
        <v>119</v>
      </c>
      <c r="E30" s="21" t="s">
        <v>32</v>
      </c>
      <c r="F30" s="21" t="s">
        <v>120</v>
      </c>
      <c r="G30" s="21" t="s">
        <v>121</v>
      </c>
      <c r="H30" s="21" t="s">
        <v>160</v>
      </c>
      <c r="I30" s="21" t="s">
        <v>216</v>
      </c>
      <c r="J30" s="21" t="s">
        <v>241</v>
      </c>
      <c r="K30" s="22" t="str">
        <f>IF($L30="","",$C30&amp;"-"&amp;TEXT(COUNTIFS($C$6:$C30,$C30),"00"))</f>
        <v>1.1.3.20.3-03</v>
      </c>
      <c r="L30" s="21" t="s">
        <v>252</v>
      </c>
      <c r="M30" s="23"/>
      <c r="N30" s="20" t="s">
        <v>126</v>
      </c>
      <c r="O30" s="23"/>
      <c r="P30" s="24">
        <v>120</v>
      </c>
      <c r="Q30" s="24">
        <v>1</v>
      </c>
      <c r="R30" s="24" t="s">
        <v>949</v>
      </c>
      <c r="S30" s="24">
        <v>1</v>
      </c>
      <c r="T30" s="24">
        <v>0</v>
      </c>
      <c r="U30" s="21" t="s">
        <v>253</v>
      </c>
      <c r="V30" s="21" t="s">
        <v>254</v>
      </c>
      <c r="W30" s="20" t="s">
        <v>142</v>
      </c>
      <c r="X30" s="20" t="s">
        <v>130</v>
      </c>
      <c r="Y30" s="20" t="s">
        <v>46</v>
      </c>
      <c r="Z30" s="21" t="s">
        <v>255</v>
      </c>
      <c r="AA30" s="20" t="s">
        <v>46</v>
      </c>
      <c r="AB30" s="23"/>
      <c r="AC30" s="24"/>
      <c r="AD30" s="24"/>
      <c r="AE30" s="21" t="s">
        <v>253</v>
      </c>
      <c r="AF30" s="21" t="s">
        <v>254</v>
      </c>
      <c r="AG30" s="20" t="s">
        <v>132</v>
      </c>
      <c r="AH30" s="25">
        <f>IF(OR($Q30="",$Q30=0,$P30=""),0,ROUND($P30*$Q30*IFERROR(IF($R30="건별/비정기",$T30,VLOOKUP($R30,'04.코드표'!$K$5:$L$8,2,FALSE)*$S30),0)/60,1))</f>
        <v>24</v>
      </c>
      <c r="AI30" s="25">
        <f>IF(OR($AD30="",$AD30=0,$AC30=""),0,ROUND($AC30*$AD30*IFERROR(IF($R30="건별/비정기",$T30,VLOOKUP($R30,'04.코드표'!$K$5:$L$8,2,FALSE)*$S30),0)/60,1))</f>
        <v>0</v>
      </c>
      <c r="AJ30" s="25">
        <f t="shared" si="0"/>
        <v>24</v>
      </c>
      <c r="AK30" s="26">
        <f>IF($L30="","",ROUND($AJ30/'04.코드표'!$L$11,2))</f>
        <v>0.01</v>
      </c>
      <c r="AL30" s="20" t="s">
        <v>133</v>
      </c>
      <c r="AM30" s="21" t="s">
        <v>256</v>
      </c>
      <c r="AN30" s="23"/>
      <c r="AO30" s="23"/>
      <c r="AP30" s="22">
        <f t="shared" si="1"/>
        <v>5</v>
      </c>
      <c r="AQ30" s="22" t="str">
        <f t="shared" si="2"/>
        <v>○ 좋음 (하는 일 4가지)</v>
      </c>
      <c r="AR30" s="22" t="str">
        <f t="shared" si="3"/>
        <v>⚠ 2칸 비었음</v>
      </c>
      <c r="AS30" s="27" t="str">
        <f t="shared" si="4"/>
        <v>⚠ 1건 60분 넘음 — 더 쪼개세요</v>
      </c>
      <c r="AT30" s="23"/>
      <c r="AU30" s="23"/>
      <c r="AV30" s="28" t="str">
        <f t="shared" si="5"/>
        <v>편집한다</v>
      </c>
      <c r="AW30" s="28" t="str">
        <f t="shared" si="6"/>
        <v>취합·요약 내용을 리포트 형식으로 편집한다</v>
      </c>
      <c r="AX30" s="28" t="str">
        <f t="shared" si="7"/>
        <v>월간 MI리포트 작성</v>
      </c>
      <c r="AY30" s="28" t="str">
        <f>IF($L30="","",IF(SUMPRODUCT(--ISNUMBER(SEARCH({"조회","수집","추출","검색","파악","취합","조달","접수","연계","연동","선별","확보","입수","조사","식별","검출","감지","스크랩","필터링"},$AV30)))&gt;0,"조회",IF(SUMPRODUCT(--ISNUMBER(SEARCH({"검토","검증","판정","판별","확인","승인","선정","대조","점검","분류","확정","평가","판단","심사","검수","비교","결정","구분","진단","판독","협의"},$AV30)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30)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30)))&gt;0,"작성","기타")))))</f>
        <v>작성</v>
      </c>
      <c r="AZ30" s="28">
        <f t="shared" si="8"/>
        <v>4</v>
      </c>
      <c r="BA30" s="28">
        <f t="shared" si="9"/>
        <v>2</v>
      </c>
      <c r="BB30" s="28" t="str">
        <f>IF($L30="","",IF(AND($AX30&lt;&gt;"",ISNUMBER(SEARCH($AX30,$AW30))),"L5 이름을 그대로 씀 · ","")&amp;IF(AND($L30&lt;&gt;"",$L30=$Z30),"개선 후 설명이 똑같음 · ","")&amp;IF(COUNTIFS($C$6:$C$62,$C30,$L$6:$L$62,$L30)&gt;1,"같은 내용이 또 있음 · ","")&amp;IF(AND($U30&lt;&gt;"",$U30=$V30),"필요 자료와 산출물이 같음 · ","")&amp;IF(AND($C30=$C5,$V5&lt;&gt;"",$U30&lt;&gt;"",ISERROR(SEARCH(SUBSTITUTE($V5,CHAR(10)," "),SUBSTITUTE($U30,CHAR(10)," "))),ISERROR(SEARCH(SUBSTITUTE($U30,CHAR(10)," "),SUBSTITUTE($V5,CHAR(10)," ")))),"앞 산출물과 이어지지 않음 · ","")&amp;IF(SUMPRODUCT(--ISNUMBER(SEARCH({"관리한다","처리한다","수행한다","진행한다"},$AW30)))&gt;0,"뭉뚱그린 동사 · ","")&amp;IF(ISNUMBER(SEARCH("하고 ",$AW30)),"한 줄에 동작 2개 · ","")&amp;IF(RIGHT($L30,2)&lt;&gt;"한다","~한다 로 안 끝남 · ","")&amp;IF(AND($P30&lt;&gt;"",N($P30)&gt;60),"1건 60분 넘음 — 더 쪼개세요 · ","")&amp;IF(AND($AA30="AI",$AD30&lt;&gt;"",N($AD30)&gt;0),"AI 혼자 하는데 사람 인원 있음 · ","")&amp;IF(AND($AA30="AI+사람",$AD30&lt;&gt;"",N($AD30)=0),"사람이 확인한다는데 인원 0 · ","")&amp;IF(AND($X30="유지",$Y30="AI"),"그대로 두는데 AI 를 쓴다고 함 · ","")&amp;IF(AND($X30="신설",COUNT($P30,$Q30)&gt;0),"새로 생기는 일인데 현재 공수가 있음 · ","")&amp;IF(AND($X30="삭제",COUNT($AC30,$AD30)&gt;0),"없애는 일인데 개선 후 공수가 있음 · ","")&amp;IF(AND($X30&lt;&gt;"신설",N($AH30)&gt;0,N($AI30)&gt;N($AH30)),"개선 후가 지금보다 더 오래 걸림 · ",""))</f>
        <v xml:space="preserve">1건 60분 넘음 — 더 쪼개세요 · </v>
      </c>
      <c r="BC30" s="28">
        <f t="shared" si="10"/>
        <v>0.2</v>
      </c>
    </row>
    <row r="31" spans="2:55" ht="37.15" customHeight="1" x14ac:dyDescent="0.3">
      <c r="B31" s="20">
        <v>26</v>
      </c>
      <c r="C31" s="21" t="s">
        <v>240</v>
      </c>
      <c r="D31" s="21" t="s">
        <v>119</v>
      </c>
      <c r="E31" s="21" t="s">
        <v>32</v>
      </c>
      <c r="F31" s="21" t="s">
        <v>120</v>
      </c>
      <c r="G31" s="21" t="s">
        <v>121</v>
      </c>
      <c r="H31" s="21" t="s">
        <v>160</v>
      </c>
      <c r="I31" s="21" t="s">
        <v>216</v>
      </c>
      <c r="J31" s="21" t="s">
        <v>241</v>
      </c>
      <c r="K31" s="22" t="str">
        <f>IF($L31="","",$C31&amp;"-"&amp;TEXT(COUNTIFS($C$6:$C31,$C31),"00"))</f>
        <v>1.1.3.20.3-04</v>
      </c>
      <c r="L31" s="21" t="s">
        <v>257</v>
      </c>
      <c r="M31" s="23" t="s">
        <v>258</v>
      </c>
      <c r="N31" s="20" t="s">
        <v>126</v>
      </c>
      <c r="O31" s="23"/>
      <c r="P31" s="24">
        <v>60</v>
      </c>
      <c r="Q31" s="24">
        <v>2</v>
      </c>
      <c r="R31" s="24" t="s">
        <v>949</v>
      </c>
      <c r="S31" s="24">
        <v>1</v>
      </c>
      <c r="T31" s="24">
        <v>0</v>
      </c>
      <c r="U31" s="21" t="s">
        <v>259</v>
      </c>
      <c r="V31" s="21" t="s">
        <v>260</v>
      </c>
      <c r="W31" s="20" t="s">
        <v>142</v>
      </c>
      <c r="X31" s="20" t="s">
        <v>130</v>
      </c>
      <c r="Y31" s="20" t="s">
        <v>46</v>
      </c>
      <c r="Z31" s="21" t="s">
        <v>261</v>
      </c>
      <c r="AA31" s="20" t="s">
        <v>126</v>
      </c>
      <c r="AB31" s="23"/>
      <c r="AC31" s="24"/>
      <c r="AD31" s="24"/>
      <c r="AE31" s="21" t="s">
        <v>259</v>
      </c>
      <c r="AF31" s="21" t="s">
        <v>260</v>
      </c>
      <c r="AG31" s="20" t="s">
        <v>132</v>
      </c>
      <c r="AH31" s="25">
        <f>IF(OR($Q31="",$Q31=0,$P31=""),0,ROUND($P31*$Q31*IFERROR(IF($R31="건별/비정기",$T31,VLOOKUP($R31,'04.코드표'!$K$5:$L$8,2,FALSE)*$S31),0)/60,1))</f>
        <v>24</v>
      </c>
      <c r="AI31" s="25">
        <f>IF(OR($AD31="",$AD31=0,$AC31=""),0,ROUND($AC31*$AD31*IFERROR(IF($R31="건별/비정기",$T31,VLOOKUP($R31,'04.코드표'!$K$5:$L$8,2,FALSE)*$S31),0)/60,1))</f>
        <v>0</v>
      </c>
      <c r="AJ31" s="25">
        <f t="shared" si="0"/>
        <v>24</v>
      </c>
      <c r="AK31" s="26">
        <f>IF($L31="","",ROUND($AJ31/'04.코드표'!$L$11,2))</f>
        <v>0.01</v>
      </c>
      <c r="AL31" s="20" t="s">
        <v>145</v>
      </c>
      <c r="AM31" s="21" t="s">
        <v>262</v>
      </c>
      <c r="AN31" s="23"/>
      <c r="AO31" s="23"/>
      <c r="AP31" s="22">
        <f t="shared" si="1"/>
        <v>5</v>
      </c>
      <c r="AQ31" s="22" t="str">
        <f t="shared" si="2"/>
        <v>○ 좋음 (하는 일 4가지)</v>
      </c>
      <c r="AR31" s="22" t="str">
        <f t="shared" si="3"/>
        <v>⚠ 2칸 비었음</v>
      </c>
      <c r="AS31" s="27" t="str">
        <f t="shared" si="4"/>
        <v>○ 문제 없음</v>
      </c>
      <c r="AT31" s="23"/>
      <c r="AU31" s="23"/>
      <c r="AV31" s="28" t="str">
        <f t="shared" si="5"/>
        <v>확정한다</v>
      </c>
      <c r="AW31" s="28" t="str">
        <f t="shared" si="6"/>
        <v>리포트 내용의 근거를 최종 검토하여 확정한다</v>
      </c>
      <c r="AX31" s="28" t="str">
        <f t="shared" si="7"/>
        <v>월간 MI리포트 작성</v>
      </c>
      <c r="AY31" s="28" t="str">
        <f>IF($L31="","",IF(SUMPRODUCT(--ISNUMBER(SEARCH({"조회","수집","추출","검색","파악","취합","조달","접수","연계","연동","선별","확보","입수","조사","식별","검출","감지","스크랩","필터링"},$AV31)))&gt;0,"조회",IF(SUMPRODUCT(--ISNUMBER(SEARCH({"검토","검증","판정","판별","확인","승인","선정","대조","점검","분류","확정","평가","판단","심사","검수","비교","결정","구분","진단","판독","협의"},$AV31)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31)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31)))&gt;0,"작성","기타")))))</f>
        <v>검증</v>
      </c>
      <c r="AZ31" s="28">
        <f t="shared" si="8"/>
        <v>4</v>
      </c>
      <c r="BA31" s="28">
        <f t="shared" si="9"/>
        <v>2</v>
      </c>
      <c r="BB31" s="28" t="str">
        <f>IF($L31="","",IF(AND($AX31&lt;&gt;"",ISNUMBER(SEARCH($AX31,$AW31))),"L5 이름을 그대로 씀 · ","")&amp;IF(AND($L31&lt;&gt;"",$L31=$Z31),"개선 후 설명이 똑같음 · ","")&amp;IF(COUNTIFS($C$6:$C$62,$C31,$L$6:$L$62,$L31)&gt;1,"같은 내용이 또 있음 · ","")&amp;IF(AND($U31&lt;&gt;"",$U31=$V31),"필요 자료와 산출물이 같음 · ","")&amp;IF(AND($C31=$C5,$V5&lt;&gt;"",$U31&lt;&gt;"",ISERROR(SEARCH(SUBSTITUTE($V5,CHAR(10)," "),SUBSTITUTE($U31,CHAR(10)," "))),ISERROR(SEARCH(SUBSTITUTE($U31,CHAR(10)," "),SUBSTITUTE($V5,CHAR(10)," ")))),"앞 산출물과 이어지지 않음 · ","")&amp;IF(SUMPRODUCT(--ISNUMBER(SEARCH({"관리한다","처리한다","수행한다","진행한다"},$AW31)))&gt;0,"뭉뚱그린 동사 · ","")&amp;IF(ISNUMBER(SEARCH("하고 ",$AW31)),"한 줄에 동작 2개 · ","")&amp;IF(RIGHT($L31,2)&lt;&gt;"한다","~한다 로 안 끝남 · ","")&amp;IF(AND($P31&lt;&gt;"",N($P31)&gt;60),"1건 60분 넘음 — 더 쪼개세요 · ","")&amp;IF(AND($AA31="AI",$AD31&lt;&gt;"",N($AD31)&gt;0),"AI 혼자 하는데 사람 인원 있음 · ","")&amp;IF(AND($AA31="AI+사람",$AD31&lt;&gt;"",N($AD31)=0),"사람이 확인한다는데 인원 0 · ","")&amp;IF(AND($X31="유지",$Y31="AI"),"그대로 두는데 AI 를 쓴다고 함 · ","")&amp;IF(AND($X31="신설",COUNT($P31,$Q31)&gt;0),"새로 생기는 일인데 현재 공수가 있음 · ","")&amp;IF(AND($X31="삭제",COUNT($AC31,$AD31)&gt;0),"없애는 일인데 개선 후 공수가 있음 · ","")&amp;IF(AND($X31&lt;&gt;"신설",N($AH31)&gt;0,N($AI31)&gt;N($AH31)),"개선 후가 지금보다 더 오래 걸림 · ",""))</f>
        <v/>
      </c>
      <c r="BC31" s="28">
        <f t="shared" si="10"/>
        <v>0.2</v>
      </c>
    </row>
    <row r="32" spans="2:55" ht="37.15" customHeight="1" x14ac:dyDescent="0.3">
      <c r="B32" s="20">
        <v>27</v>
      </c>
      <c r="C32" s="21" t="s">
        <v>240</v>
      </c>
      <c r="D32" s="21" t="s">
        <v>119</v>
      </c>
      <c r="E32" s="21" t="s">
        <v>32</v>
      </c>
      <c r="F32" s="21" t="s">
        <v>120</v>
      </c>
      <c r="G32" s="21" t="s">
        <v>121</v>
      </c>
      <c r="H32" s="21" t="s">
        <v>160</v>
      </c>
      <c r="I32" s="21" t="s">
        <v>216</v>
      </c>
      <c r="J32" s="21" t="s">
        <v>241</v>
      </c>
      <c r="K32" s="22" t="str">
        <f>IF($L32="","",$C32&amp;"-"&amp;TEXT(COUNTIFS($C$6:$C32,$C32),"00"))</f>
        <v>1.1.3.20.3-05</v>
      </c>
      <c r="L32" s="21" t="s">
        <v>263</v>
      </c>
      <c r="M32" s="23"/>
      <c r="N32" s="20" t="s">
        <v>126</v>
      </c>
      <c r="O32" s="23"/>
      <c r="P32" s="24">
        <v>15</v>
      </c>
      <c r="Q32" s="24">
        <v>1</v>
      </c>
      <c r="R32" s="24" t="s">
        <v>949</v>
      </c>
      <c r="S32" s="24">
        <v>1</v>
      </c>
      <c r="T32" s="24">
        <v>0</v>
      </c>
      <c r="U32" s="21" t="s">
        <v>260</v>
      </c>
      <c r="V32" s="21" t="s">
        <v>264</v>
      </c>
      <c r="W32" s="20" t="s">
        <v>235</v>
      </c>
      <c r="X32" s="20" t="s">
        <v>130</v>
      </c>
      <c r="Y32" s="20" t="s">
        <v>46</v>
      </c>
      <c r="Z32" s="21" t="s">
        <v>265</v>
      </c>
      <c r="AA32" s="20" t="s">
        <v>266</v>
      </c>
      <c r="AB32" s="23"/>
      <c r="AC32" s="24"/>
      <c r="AD32" s="24"/>
      <c r="AE32" s="21" t="s">
        <v>260</v>
      </c>
      <c r="AF32" s="21" t="s">
        <v>264</v>
      </c>
      <c r="AG32" s="20" t="s">
        <v>235</v>
      </c>
      <c r="AH32" s="25">
        <f>IF(OR($Q32="",$Q32=0,$P32=""),0,ROUND($P32*$Q32*IFERROR(IF($R32="건별/비정기",$T32,VLOOKUP($R32,'04.코드표'!$K$5:$L$8,2,FALSE)*$S32),0)/60,1))</f>
        <v>3</v>
      </c>
      <c r="AI32" s="25">
        <f>IF(OR($AD32="",$AD32=0,$AC32=""),0,ROUND($AC32*$AD32*IFERROR(IF($R32="건별/비정기",$T32,VLOOKUP($R32,'04.코드표'!$K$5:$L$8,2,FALSE)*$S32),0)/60,1))</f>
        <v>0</v>
      </c>
      <c r="AJ32" s="25">
        <f t="shared" si="0"/>
        <v>3</v>
      </c>
      <c r="AK32" s="26">
        <f>IF($L32="","",ROUND($AJ32/'04.코드표'!$L$11,2))</f>
        <v>0</v>
      </c>
      <c r="AL32" s="20" t="s">
        <v>133</v>
      </c>
      <c r="AM32" s="21" t="s">
        <v>267</v>
      </c>
      <c r="AN32" s="23"/>
      <c r="AO32" s="23"/>
      <c r="AP32" s="22">
        <f t="shared" si="1"/>
        <v>5</v>
      </c>
      <c r="AQ32" s="22" t="str">
        <f t="shared" si="2"/>
        <v>○ 좋음 (하는 일 4가지)</v>
      </c>
      <c r="AR32" s="22" t="str">
        <f t="shared" si="3"/>
        <v>⚠ 2칸 비었음</v>
      </c>
      <c r="AS32" s="27" t="str">
        <f t="shared" si="4"/>
        <v>○ 문제 없음</v>
      </c>
      <c r="AT32" s="23"/>
      <c r="AU32" s="23"/>
      <c r="AV32" s="28" t="str">
        <f t="shared" si="5"/>
        <v>발송한다</v>
      </c>
      <c r="AW32" s="28" t="str">
        <f t="shared" si="6"/>
        <v>확정된 월간 MI리포트를 관련 조직에 발송한다</v>
      </c>
      <c r="AX32" s="28" t="str">
        <f t="shared" si="7"/>
        <v>월간 MI리포트 작성</v>
      </c>
      <c r="AY32" s="28" t="str">
        <f>IF($L32="","",IF(SUMPRODUCT(--ISNUMBER(SEARCH({"조회","수집","추출","검색","파악","취합","조달","접수","연계","연동","선별","확보","입수","조사","식별","검출","감지","스크랩","필터링"},$AV32)))&gt;0,"조회",IF(SUMPRODUCT(--ISNUMBER(SEARCH({"검토","검증","판정","판별","확인","승인","선정","대조","점검","분류","확정","평가","판단","심사","검수","비교","결정","구분","진단","판독","협의"},$AV32)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32)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32)))&gt;0,"작성","기타")))))</f>
        <v>등록</v>
      </c>
      <c r="AZ32" s="28">
        <f t="shared" si="8"/>
        <v>4</v>
      </c>
      <c r="BA32" s="28">
        <f t="shared" si="9"/>
        <v>2</v>
      </c>
      <c r="BB32" s="28" t="str">
        <f>IF($L32="","",IF(AND($AX32&lt;&gt;"",ISNUMBER(SEARCH($AX32,$AW32))),"L5 이름을 그대로 씀 · ","")&amp;IF(AND($L32&lt;&gt;"",$L32=$Z32),"개선 후 설명이 똑같음 · ","")&amp;IF(COUNTIFS($C$6:$C$62,$C32,$L$6:$L$62,$L32)&gt;1,"같은 내용이 또 있음 · ","")&amp;IF(AND($U32&lt;&gt;"",$U32=$V32),"필요 자료와 산출물이 같음 · ","")&amp;IF(AND($C32=$C5,$V5&lt;&gt;"",$U32&lt;&gt;"",ISERROR(SEARCH(SUBSTITUTE($V5,CHAR(10)," "),SUBSTITUTE($U32,CHAR(10)," "))),ISERROR(SEARCH(SUBSTITUTE($U32,CHAR(10)," "),SUBSTITUTE($V5,CHAR(10)," ")))),"앞 산출물과 이어지지 않음 · ","")&amp;IF(SUMPRODUCT(--ISNUMBER(SEARCH({"관리한다","처리한다","수행한다","진행한다"},$AW32)))&gt;0,"뭉뚱그린 동사 · ","")&amp;IF(ISNUMBER(SEARCH("하고 ",$AW32)),"한 줄에 동작 2개 · ","")&amp;IF(RIGHT($L32,2)&lt;&gt;"한다","~한다 로 안 끝남 · ","")&amp;IF(AND($P32&lt;&gt;"",N($P32)&gt;60),"1건 60분 넘음 — 더 쪼개세요 · ","")&amp;IF(AND($AA32="AI",$AD32&lt;&gt;"",N($AD32)&gt;0),"AI 혼자 하는데 사람 인원 있음 · ","")&amp;IF(AND($AA32="AI+사람",$AD32&lt;&gt;"",N($AD32)=0),"사람이 확인한다는데 인원 0 · ","")&amp;IF(AND($X32="유지",$Y32="AI"),"그대로 두는데 AI 를 쓴다고 함 · ","")&amp;IF(AND($X32="신설",COUNT($P32,$Q32)&gt;0),"새로 생기는 일인데 현재 공수가 있음 · ","")&amp;IF(AND($X32="삭제",COUNT($AC32,$AD32)&gt;0),"없애는 일인데 개선 후 공수가 있음 · ","")&amp;IF(AND($X32&lt;&gt;"신설",N($AH32)&gt;0,N($AI32)&gt;N($AH32)),"개선 후가 지금보다 더 오래 걸림 · ",""))</f>
        <v/>
      </c>
      <c r="BC32" s="28">
        <f t="shared" si="10"/>
        <v>0.2</v>
      </c>
    </row>
    <row r="33" spans="2:55" ht="21" customHeight="1" x14ac:dyDescent="0.3">
      <c r="B33" s="11"/>
      <c r="C33" s="11"/>
      <c r="D33" s="11"/>
      <c r="E33" s="11"/>
      <c r="F33" s="11"/>
      <c r="G33" s="11"/>
      <c r="H33" s="11"/>
      <c r="I33" s="11"/>
      <c r="J33" s="11"/>
      <c r="K33" s="22" t="str">
        <f>IF($L33="","",$C33&amp;"-"&amp;TEXT(COUNTIFS($C$6:$C33,$C33),"00"))</f>
        <v/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25">
        <f>IF(OR($Q33="",$Q33=0,$P33=""),0,ROUND($P33*$Q33*IFERROR(IF($R33="건별/비정기",$T33,VLOOKUP($R33,'04.코드표'!$K$5:$L$8,2,FALSE)*$S33),0)/60,1))</f>
        <v>0</v>
      </c>
      <c r="AI33" s="25">
        <f>IF(OR($AD33="",$AD33=0,$AC33=""),0,ROUND($AC33*$AD33*IFERROR(IF($R33="건별/비정기",$T33,VLOOKUP($R33,'04.코드표'!$K$5:$L$8,2,FALSE)*$S33),0)/60,1))</f>
        <v>0</v>
      </c>
      <c r="AJ33" s="25" t="str">
        <f t="shared" si="0"/>
        <v/>
      </c>
      <c r="AK33" s="26" t="str">
        <f>IF($L33="","",ROUND($AJ33/'04.코드표'!$L$11,2))</f>
        <v/>
      </c>
      <c r="AL33" s="11"/>
      <c r="AM33" s="11"/>
      <c r="AN33" s="11"/>
      <c r="AO33" s="11"/>
      <c r="AP33" s="22" t="str">
        <f t="shared" si="1"/>
        <v/>
      </c>
      <c r="AQ33" s="22" t="str">
        <f t="shared" si="2"/>
        <v/>
      </c>
      <c r="AR33" s="22" t="str">
        <f t="shared" si="3"/>
        <v/>
      </c>
      <c r="AS33" s="27" t="str">
        <f t="shared" si="4"/>
        <v/>
      </c>
      <c r="AT33" s="11"/>
      <c r="AU33" s="11"/>
      <c r="AV33" s="28" t="str">
        <f t="shared" si="5"/>
        <v/>
      </c>
      <c r="AW33" s="28" t="str">
        <f t="shared" si="6"/>
        <v/>
      </c>
      <c r="AX33" s="28" t="str">
        <f t="shared" si="7"/>
        <v/>
      </c>
      <c r="AY33" s="28" t="str">
        <f>IF($L33="","",IF(SUMPRODUCT(--ISNUMBER(SEARCH({"조회","수집","추출","검색","파악","취합","조달","접수","연계","연동","선별","확보","입수","조사","식별","검출","감지","스크랩","필터링"},$AV33)))&gt;0,"조회",IF(SUMPRODUCT(--ISNUMBER(SEARCH({"검토","검증","판정","판별","확인","승인","선정","대조","점검","분류","확정","평가","판단","심사","검수","비교","결정","구분","진단","판독","협의"},$AV33)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33)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33)))&gt;0,"작성","기타")))))</f>
        <v/>
      </c>
      <c r="AZ33" s="28" t="str">
        <f t="shared" si="8"/>
        <v/>
      </c>
      <c r="BA33" s="28">
        <f t="shared" si="9"/>
        <v>0</v>
      </c>
      <c r="BB33" s="28" t="str">
        <f>IF($L33="","",IF(AND($AX33&lt;&gt;"",ISNUMBER(SEARCH($AX33,$AW33))),"L5 이름을 그대로 씀 · ","")&amp;IF(AND($L33&lt;&gt;"",$L33=$Z33),"개선 후 설명이 똑같음 · ","")&amp;IF(COUNTIFS($C$6:$C$62,$C33,$L$6:$L$62,$L33)&gt;1,"같은 내용이 또 있음 · ","")&amp;IF(AND($U33&lt;&gt;"",$U33=$V33),"필요 자료와 산출물이 같음 · ","")&amp;IF(AND($C33=$C5,$V5&lt;&gt;"",$U33&lt;&gt;"",ISERROR(SEARCH(SUBSTITUTE($V5,CHAR(10)," "),SUBSTITUTE($U33,CHAR(10)," "))),ISERROR(SEARCH(SUBSTITUTE($U33,CHAR(10)," "),SUBSTITUTE($V5,CHAR(10)," ")))),"앞 산출물과 이어지지 않음 · ","")&amp;IF(SUMPRODUCT(--ISNUMBER(SEARCH({"관리한다","처리한다","수행한다","진행한다"},$AW33)))&gt;0,"뭉뚱그린 동사 · ","")&amp;IF(ISNUMBER(SEARCH("하고 ",$AW33)),"한 줄에 동작 2개 · ","")&amp;IF(RIGHT($L33,2)&lt;&gt;"한다","~한다 로 안 끝남 · ","")&amp;IF(AND($P33&lt;&gt;"",N($P33)&gt;60),"1건 60분 넘음 — 더 쪼개세요 · ","")&amp;IF(AND($AA33="AI",$AD33&lt;&gt;"",N($AD33)&gt;0),"AI 혼자 하는데 사람 인원 있음 · ","")&amp;IF(AND($AA33="AI+사람",$AD33&lt;&gt;"",N($AD33)=0),"사람이 확인한다는데 인원 0 · ","")&amp;IF(AND($X33="유지",$Y33="AI"),"그대로 두는데 AI 를 쓴다고 함 · ","")&amp;IF(AND($X33="신설",COUNT($P33,$Q33)&gt;0),"새로 생기는 일인데 현재 공수가 있음 · ","")&amp;IF(AND($X33="삭제",COUNT($AC33,$AD33)&gt;0),"없애는 일인데 개선 후 공수가 있음 · ","")&amp;IF(AND($X33&lt;&gt;"신설",N($AH33)&gt;0,N($AI33)&gt;N($AH33)),"개선 후가 지금보다 더 오래 걸림 · ",""))</f>
        <v/>
      </c>
      <c r="BC33" s="28">
        <f t="shared" si="10"/>
        <v>0</v>
      </c>
    </row>
    <row r="34" spans="2:55" ht="21" customHeight="1" x14ac:dyDescent="0.3">
      <c r="B34" s="11"/>
      <c r="C34" s="11"/>
      <c r="D34" s="11"/>
      <c r="E34" s="11"/>
      <c r="F34" s="11"/>
      <c r="G34" s="11"/>
      <c r="H34" s="11"/>
      <c r="I34" s="11"/>
      <c r="J34" s="11"/>
      <c r="K34" s="22" t="str">
        <f>IF($L34="","",$C34&amp;"-"&amp;TEXT(COUNTIFS($C$6:$C34,$C34),"00"))</f>
        <v/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25">
        <f>IF(OR($Q34="",$Q34=0,$P34=""),0,ROUND($P34*$Q34*IFERROR(IF($R34="건별/비정기",$T34,VLOOKUP($R34,'04.코드표'!$K$5:$L$8,2,FALSE)*$S34),0)/60,1))</f>
        <v>0</v>
      </c>
      <c r="AI34" s="25">
        <f>IF(OR($AD34="",$AD34=0,$AC34=""),0,ROUND($AC34*$AD34*IFERROR(IF($R34="건별/비정기",$T34,VLOOKUP($R34,'04.코드표'!$K$5:$L$8,2,FALSE)*$S34),0)/60,1))</f>
        <v>0</v>
      </c>
      <c r="AJ34" s="25" t="str">
        <f t="shared" si="0"/>
        <v/>
      </c>
      <c r="AK34" s="26" t="str">
        <f>IF($L34="","",ROUND($AJ34/'04.코드표'!$L$11,2))</f>
        <v/>
      </c>
      <c r="AL34" s="11"/>
      <c r="AM34" s="11"/>
      <c r="AN34" s="11"/>
      <c r="AO34" s="11"/>
      <c r="AP34" s="22" t="str">
        <f t="shared" si="1"/>
        <v/>
      </c>
      <c r="AQ34" s="22" t="str">
        <f t="shared" si="2"/>
        <v/>
      </c>
      <c r="AR34" s="22" t="str">
        <f t="shared" si="3"/>
        <v/>
      </c>
      <c r="AS34" s="27" t="str">
        <f t="shared" si="4"/>
        <v/>
      </c>
      <c r="AT34" s="11"/>
      <c r="AU34" s="11"/>
      <c r="AV34" s="28" t="str">
        <f t="shared" si="5"/>
        <v/>
      </c>
      <c r="AW34" s="28" t="str">
        <f t="shared" si="6"/>
        <v/>
      </c>
      <c r="AX34" s="28" t="str">
        <f t="shared" si="7"/>
        <v/>
      </c>
      <c r="AY34" s="28" t="str">
        <f>IF($L34="","",IF(SUMPRODUCT(--ISNUMBER(SEARCH({"조회","수집","추출","검색","파악","취합","조달","접수","연계","연동","선별","확보","입수","조사","식별","검출","감지","스크랩","필터링"},$AV34)))&gt;0,"조회",IF(SUMPRODUCT(--ISNUMBER(SEARCH({"검토","검증","판정","판별","확인","승인","선정","대조","점검","분류","확정","평가","판단","심사","검수","비교","결정","구분","진단","판독","협의"},$AV34)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34)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34)))&gt;0,"작성","기타")))))</f>
        <v/>
      </c>
      <c r="AZ34" s="28" t="str">
        <f t="shared" si="8"/>
        <v/>
      </c>
      <c r="BA34" s="28">
        <f t="shared" si="9"/>
        <v>0</v>
      </c>
      <c r="BB34" s="28" t="str">
        <f>IF($L34="","",IF(AND($AX34&lt;&gt;"",ISNUMBER(SEARCH($AX34,$AW34))),"L5 이름을 그대로 씀 · ","")&amp;IF(AND($L34&lt;&gt;"",$L34=$Z34),"개선 후 설명이 똑같음 · ","")&amp;IF(COUNTIFS($C$6:$C$62,$C34,$L$6:$L$62,$L34)&gt;1,"같은 내용이 또 있음 · ","")&amp;IF(AND($U34&lt;&gt;"",$U34=$V34),"필요 자료와 산출물이 같음 · ","")&amp;IF(AND($C34=$C5,$V5&lt;&gt;"",$U34&lt;&gt;"",ISERROR(SEARCH(SUBSTITUTE($V5,CHAR(10)," "),SUBSTITUTE($U34,CHAR(10)," "))),ISERROR(SEARCH(SUBSTITUTE($U34,CHAR(10)," "),SUBSTITUTE($V5,CHAR(10)," ")))),"앞 산출물과 이어지지 않음 · ","")&amp;IF(SUMPRODUCT(--ISNUMBER(SEARCH({"관리한다","처리한다","수행한다","진행한다"},$AW34)))&gt;0,"뭉뚱그린 동사 · ","")&amp;IF(ISNUMBER(SEARCH("하고 ",$AW34)),"한 줄에 동작 2개 · ","")&amp;IF(RIGHT($L34,2)&lt;&gt;"한다","~한다 로 안 끝남 · ","")&amp;IF(AND($P34&lt;&gt;"",N($P34)&gt;60),"1건 60분 넘음 — 더 쪼개세요 · ","")&amp;IF(AND($AA34="AI",$AD34&lt;&gt;"",N($AD34)&gt;0),"AI 혼자 하는데 사람 인원 있음 · ","")&amp;IF(AND($AA34="AI+사람",$AD34&lt;&gt;"",N($AD34)=0),"사람이 확인한다는데 인원 0 · ","")&amp;IF(AND($X34="유지",$Y34="AI"),"그대로 두는데 AI 를 쓴다고 함 · ","")&amp;IF(AND($X34="신설",COUNT($P34,$Q34)&gt;0),"새로 생기는 일인데 현재 공수가 있음 · ","")&amp;IF(AND($X34="삭제",COUNT($AC34,$AD34)&gt;0),"없애는 일인데 개선 후 공수가 있음 · ","")&amp;IF(AND($X34&lt;&gt;"신설",N($AH34)&gt;0,N($AI34)&gt;N($AH34)),"개선 후가 지금보다 더 오래 걸림 · ",""))</f>
        <v/>
      </c>
      <c r="BC34" s="28">
        <f t="shared" si="10"/>
        <v>0</v>
      </c>
    </row>
    <row r="35" spans="2:55" ht="21" customHeight="1" x14ac:dyDescent="0.3">
      <c r="B35" s="11"/>
      <c r="C35" s="11"/>
      <c r="D35" s="11"/>
      <c r="E35" s="11"/>
      <c r="F35" s="11"/>
      <c r="G35" s="11"/>
      <c r="H35" s="11"/>
      <c r="I35" s="11"/>
      <c r="J35" s="11"/>
      <c r="K35" s="22" t="str">
        <f>IF($L35="","",$C35&amp;"-"&amp;TEXT(COUNTIFS($C$6:$C35,$C35),"00"))</f>
        <v/>
      </c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25">
        <f>IF(OR($Q35="",$Q35=0,$P35=""),0,ROUND($P35*$Q35*IFERROR(IF($R35="건별/비정기",$T35,VLOOKUP($R35,'04.코드표'!$K$5:$L$8,2,FALSE)*$S35),0)/60,1))</f>
        <v>0</v>
      </c>
      <c r="AI35" s="25">
        <f>IF(OR($AD35="",$AD35=0,$AC35=""),0,ROUND($AC35*$AD35*IFERROR(IF($R35="건별/비정기",$T35,VLOOKUP($R35,'04.코드표'!$K$5:$L$8,2,FALSE)*$S35),0)/60,1))</f>
        <v>0</v>
      </c>
      <c r="AJ35" s="25" t="str">
        <f t="shared" si="0"/>
        <v/>
      </c>
      <c r="AK35" s="26" t="str">
        <f>IF($L35="","",ROUND($AJ35/'04.코드표'!$L$11,2))</f>
        <v/>
      </c>
      <c r="AL35" s="11"/>
      <c r="AM35" s="11"/>
      <c r="AN35" s="11"/>
      <c r="AO35" s="11"/>
      <c r="AP35" s="22" t="str">
        <f t="shared" si="1"/>
        <v/>
      </c>
      <c r="AQ35" s="22" t="str">
        <f t="shared" si="2"/>
        <v/>
      </c>
      <c r="AR35" s="22" t="str">
        <f t="shared" si="3"/>
        <v/>
      </c>
      <c r="AS35" s="27" t="str">
        <f t="shared" si="4"/>
        <v/>
      </c>
      <c r="AT35" s="11"/>
      <c r="AU35" s="11"/>
      <c r="AV35" s="28" t="str">
        <f t="shared" si="5"/>
        <v/>
      </c>
      <c r="AW35" s="28" t="str">
        <f t="shared" si="6"/>
        <v/>
      </c>
      <c r="AX35" s="28" t="str">
        <f t="shared" si="7"/>
        <v/>
      </c>
      <c r="AY35" s="28" t="str">
        <f>IF($L35="","",IF(SUMPRODUCT(--ISNUMBER(SEARCH({"조회","수집","추출","검색","파악","취합","조달","접수","연계","연동","선별","확보","입수","조사","식별","검출","감지","스크랩","필터링"},$AV35)))&gt;0,"조회",IF(SUMPRODUCT(--ISNUMBER(SEARCH({"검토","검증","판정","판별","확인","승인","선정","대조","점검","분류","확정","평가","판단","심사","검수","비교","결정","구분","진단","판독","협의"},$AV35)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35)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35)))&gt;0,"작성","기타")))))</f>
        <v/>
      </c>
      <c r="AZ35" s="28" t="str">
        <f t="shared" si="8"/>
        <v/>
      </c>
      <c r="BA35" s="28">
        <f t="shared" si="9"/>
        <v>0</v>
      </c>
      <c r="BB35" s="28" t="str">
        <f>IF($L35="","",IF(AND($AX35&lt;&gt;"",ISNUMBER(SEARCH($AX35,$AW35))),"L5 이름을 그대로 씀 · ","")&amp;IF(AND($L35&lt;&gt;"",$L35=$Z35),"개선 후 설명이 똑같음 · ","")&amp;IF(COUNTIFS($C$6:$C$62,$C35,$L$6:$L$62,$L35)&gt;1,"같은 내용이 또 있음 · ","")&amp;IF(AND($U35&lt;&gt;"",$U35=$V35),"필요 자료와 산출물이 같음 · ","")&amp;IF(AND($C35=$C5,$V5&lt;&gt;"",$U35&lt;&gt;"",ISERROR(SEARCH(SUBSTITUTE($V5,CHAR(10)," "),SUBSTITUTE($U35,CHAR(10)," "))),ISERROR(SEARCH(SUBSTITUTE($U35,CHAR(10)," "),SUBSTITUTE($V5,CHAR(10)," ")))),"앞 산출물과 이어지지 않음 · ","")&amp;IF(SUMPRODUCT(--ISNUMBER(SEARCH({"관리한다","처리한다","수행한다","진행한다"},$AW35)))&gt;0,"뭉뚱그린 동사 · ","")&amp;IF(ISNUMBER(SEARCH("하고 ",$AW35)),"한 줄에 동작 2개 · ","")&amp;IF(RIGHT($L35,2)&lt;&gt;"한다","~한다 로 안 끝남 · ","")&amp;IF(AND($P35&lt;&gt;"",N($P35)&gt;60),"1건 60분 넘음 — 더 쪼개세요 · ","")&amp;IF(AND($AA35="AI",$AD35&lt;&gt;"",N($AD35)&gt;0),"AI 혼자 하는데 사람 인원 있음 · ","")&amp;IF(AND($AA35="AI+사람",$AD35&lt;&gt;"",N($AD35)=0),"사람이 확인한다는데 인원 0 · ","")&amp;IF(AND($X35="유지",$Y35="AI"),"그대로 두는데 AI 를 쓴다고 함 · ","")&amp;IF(AND($X35="신설",COUNT($P35,$Q35)&gt;0),"새로 생기는 일인데 현재 공수가 있음 · ","")&amp;IF(AND($X35="삭제",COUNT($AC35,$AD35)&gt;0),"없애는 일인데 개선 후 공수가 있음 · ","")&amp;IF(AND($X35&lt;&gt;"신설",N($AH35)&gt;0,N($AI35)&gt;N($AH35)),"개선 후가 지금보다 더 오래 걸림 · ",""))</f>
        <v/>
      </c>
      <c r="BC35" s="28">
        <f t="shared" si="10"/>
        <v>0</v>
      </c>
    </row>
    <row r="36" spans="2:55" ht="21" customHeight="1" x14ac:dyDescent="0.3">
      <c r="B36" s="11"/>
      <c r="C36" s="11"/>
      <c r="D36" s="11"/>
      <c r="E36" s="11"/>
      <c r="F36" s="11"/>
      <c r="G36" s="11"/>
      <c r="H36" s="11"/>
      <c r="I36" s="11"/>
      <c r="J36" s="11"/>
      <c r="K36" s="22" t="str">
        <f>IF($L36="","",$C36&amp;"-"&amp;TEXT(COUNTIFS($C$6:$C36,$C36),"00"))</f>
        <v/>
      </c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25">
        <f>IF(OR($Q36="",$Q36=0,$P36=""),0,ROUND($P36*$Q36*IFERROR(IF($R36="건별/비정기",$T36,VLOOKUP($R36,'04.코드표'!$K$5:$L$8,2,FALSE)*$S36),0)/60,1))</f>
        <v>0</v>
      </c>
      <c r="AI36" s="25">
        <f>IF(OR($AD36="",$AD36=0,$AC36=""),0,ROUND($AC36*$AD36*IFERROR(IF($R36="건별/비정기",$T36,VLOOKUP($R36,'04.코드표'!$K$5:$L$8,2,FALSE)*$S36),0)/60,1))</f>
        <v>0</v>
      </c>
      <c r="AJ36" s="25" t="str">
        <f t="shared" si="0"/>
        <v/>
      </c>
      <c r="AK36" s="26" t="str">
        <f>IF($L36="","",ROUND($AJ36/'04.코드표'!$L$11,2))</f>
        <v/>
      </c>
      <c r="AL36" s="11"/>
      <c r="AM36" s="11"/>
      <c r="AN36" s="11"/>
      <c r="AO36" s="11"/>
      <c r="AP36" s="22" t="str">
        <f t="shared" si="1"/>
        <v/>
      </c>
      <c r="AQ36" s="22" t="str">
        <f t="shared" si="2"/>
        <v/>
      </c>
      <c r="AR36" s="22" t="str">
        <f t="shared" si="3"/>
        <v/>
      </c>
      <c r="AS36" s="27" t="str">
        <f t="shared" si="4"/>
        <v/>
      </c>
      <c r="AT36" s="11"/>
      <c r="AU36" s="11"/>
      <c r="AV36" s="28" t="str">
        <f t="shared" si="5"/>
        <v/>
      </c>
      <c r="AW36" s="28" t="str">
        <f t="shared" si="6"/>
        <v/>
      </c>
      <c r="AX36" s="28" t="str">
        <f t="shared" si="7"/>
        <v/>
      </c>
      <c r="AY36" s="28" t="str">
        <f>IF($L36="","",IF(SUMPRODUCT(--ISNUMBER(SEARCH({"조회","수집","추출","검색","파악","취합","조달","접수","연계","연동","선별","확보","입수","조사","식별","검출","감지","스크랩","필터링"},$AV36)))&gt;0,"조회",IF(SUMPRODUCT(--ISNUMBER(SEARCH({"검토","검증","판정","판별","확인","승인","선정","대조","점검","분류","확정","평가","판단","심사","검수","비교","결정","구분","진단","판독","협의"},$AV36)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36)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36)))&gt;0,"작성","기타")))))</f>
        <v/>
      </c>
      <c r="AZ36" s="28" t="str">
        <f t="shared" si="8"/>
        <v/>
      </c>
      <c r="BA36" s="28">
        <f t="shared" si="9"/>
        <v>0</v>
      </c>
      <c r="BB36" s="28" t="str">
        <f>IF($L36="","",IF(AND($AX36&lt;&gt;"",ISNUMBER(SEARCH($AX36,$AW36))),"L5 이름을 그대로 씀 · ","")&amp;IF(AND($L36&lt;&gt;"",$L36=$Z36),"개선 후 설명이 똑같음 · ","")&amp;IF(COUNTIFS($C$6:$C$62,$C36,$L$6:$L$62,$L36)&gt;1,"같은 내용이 또 있음 · ","")&amp;IF(AND($U36&lt;&gt;"",$U36=$V36),"필요 자료와 산출물이 같음 · ","")&amp;IF(AND($C36=$C5,$V5&lt;&gt;"",$U36&lt;&gt;"",ISERROR(SEARCH(SUBSTITUTE($V5,CHAR(10)," "),SUBSTITUTE($U36,CHAR(10)," "))),ISERROR(SEARCH(SUBSTITUTE($U36,CHAR(10)," "),SUBSTITUTE($V5,CHAR(10)," ")))),"앞 산출물과 이어지지 않음 · ","")&amp;IF(SUMPRODUCT(--ISNUMBER(SEARCH({"관리한다","처리한다","수행한다","진행한다"},$AW36)))&gt;0,"뭉뚱그린 동사 · ","")&amp;IF(ISNUMBER(SEARCH("하고 ",$AW36)),"한 줄에 동작 2개 · ","")&amp;IF(RIGHT($L36,2)&lt;&gt;"한다","~한다 로 안 끝남 · ","")&amp;IF(AND($P36&lt;&gt;"",N($P36)&gt;60),"1건 60분 넘음 — 더 쪼개세요 · ","")&amp;IF(AND($AA36="AI",$AD36&lt;&gt;"",N($AD36)&gt;0),"AI 혼자 하는데 사람 인원 있음 · ","")&amp;IF(AND($AA36="AI+사람",$AD36&lt;&gt;"",N($AD36)=0),"사람이 확인한다는데 인원 0 · ","")&amp;IF(AND($X36="유지",$Y36="AI"),"그대로 두는데 AI 를 쓴다고 함 · ","")&amp;IF(AND($X36="신설",COUNT($P36,$Q36)&gt;0),"새로 생기는 일인데 현재 공수가 있음 · ","")&amp;IF(AND($X36="삭제",COUNT($AC36,$AD36)&gt;0),"없애는 일인데 개선 후 공수가 있음 · ","")&amp;IF(AND($X36&lt;&gt;"신설",N($AH36)&gt;0,N($AI36)&gt;N($AH36)),"개선 후가 지금보다 더 오래 걸림 · ",""))</f>
        <v/>
      </c>
      <c r="BC36" s="28">
        <f t="shared" si="10"/>
        <v>0</v>
      </c>
    </row>
    <row r="37" spans="2:55" ht="21" customHeight="1" x14ac:dyDescent="0.3">
      <c r="B37" s="11"/>
      <c r="C37" s="11"/>
      <c r="D37" s="11"/>
      <c r="E37" s="11"/>
      <c r="F37" s="11"/>
      <c r="G37" s="11"/>
      <c r="H37" s="11"/>
      <c r="I37" s="11"/>
      <c r="J37" s="11"/>
      <c r="K37" s="22" t="str">
        <f>IF($L37="","",$C37&amp;"-"&amp;TEXT(COUNTIFS($C$6:$C37,$C37),"00"))</f>
        <v/>
      </c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25">
        <f>IF(OR($Q37="",$Q37=0,$P37=""),0,ROUND($P37*$Q37*IFERROR(IF($R37="건별/비정기",$T37,VLOOKUP($R37,'04.코드표'!$K$5:$L$8,2,FALSE)*$S37),0)/60,1))</f>
        <v>0</v>
      </c>
      <c r="AI37" s="25">
        <f>IF(OR($AD37="",$AD37=0,$AC37=""),0,ROUND($AC37*$AD37*IFERROR(IF($R37="건별/비정기",$T37,VLOOKUP($R37,'04.코드표'!$K$5:$L$8,2,FALSE)*$S37),0)/60,1))</f>
        <v>0</v>
      </c>
      <c r="AJ37" s="25" t="str">
        <f t="shared" si="0"/>
        <v/>
      </c>
      <c r="AK37" s="26" t="str">
        <f>IF($L37="","",ROUND($AJ37/'04.코드표'!$L$11,2))</f>
        <v/>
      </c>
      <c r="AL37" s="11"/>
      <c r="AM37" s="11"/>
      <c r="AN37" s="11"/>
      <c r="AO37" s="11"/>
      <c r="AP37" s="22" t="str">
        <f t="shared" si="1"/>
        <v/>
      </c>
      <c r="AQ37" s="22" t="str">
        <f t="shared" si="2"/>
        <v/>
      </c>
      <c r="AR37" s="22" t="str">
        <f t="shared" si="3"/>
        <v/>
      </c>
      <c r="AS37" s="27" t="str">
        <f t="shared" si="4"/>
        <v/>
      </c>
      <c r="AT37" s="11"/>
      <c r="AU37" s="11"/>
      <c r="AV37" s="28" t="str">
        <f t="shared" si="5"/>
        <v/>
      </c>
      <c r="AW37" s="28" t="str">
        <f t="shared" si="6"/>
        <v/>
      </c>
      <c r="AX37" s="28" t="str">
        <f t="shared" si="7"/>
        <v/>
      </c>
      <c r="AY37" s="28" t="str">
        <f>IF($L37="","",IF(SUMPRODUCT(--ISNUMBER(SEARCH({"조회","수집","추출","검색","파악","취합","조달","접수","연계","연동","선별","확보","입수","조사","식별","검출","감지","스크랩","필터링"},$AV37)))&gt;0,"조회",IF(SUMPRODUCT(--ISNUMBER(SEARCH({"검토","검증","판정","판별","확인","승인","선정","대조","점검","분류","확정","평가","판단","심사","검수","비교","결정","구분","진단","판독","협의"},$AV37)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37)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37)))&gt;0,"작성","기타")))))</f>
        <v/>
      </c>
      <c r="AZ37" s="28" t="str">
        <f t="shared" si="8"/>
        <v/>
      </c>
      <c r="BA37" s="28">
        <f t="shared" si="9"/>
        <v>0</v>
      </c>
      <c r="BB37" s="28" t="str">
        <f>IF($L37="","",IF(AND($AX37&lt;&gt;"",ISNUMBER(SEARCH($AX37,$AW37))),"L5 이름을 그대로 씀 · ","")&amp;IF(AND($L37&lt;&gt;"",$L37=$Z37),"개선 후 설명이 똑같음 · ","")&amp;IF(COUNTIFS($C$6:$C$62,$C37,$L$6:$L$62,$L37)&gt;1,"같은 내용이 또 있음 · ","")&amp;IF(AND($U37&lt;&gt;"",$U37=$V37),"필요 자료와 산출물이 같음 · ","")&amp;IF(AND($C37=$C5,$V5&lt;&gt;"",$U37&lt;&gt;"",ISERROR(SEARCH(SUBSTITUTE($V5,CHAR(10)," "),SUBSTITUTE($U37,CHAR(10)," "))),ISERROR(SEARCH(SUBSTITUTE($U37,CHAR(10)," "),SUBSTITUTE($V5,CHAR(10)," ")))),"앞 산출물과 이어지지 않음 · ","")&amp;IF(SUMPRODUCT(--ISNUMBER(SEARCH({"관리한다","처리한다","수행한다","진행한다"},$AW37)))&gt;0,"뭉뚱그린 동사 · ","")&amp;IF(ISNUMBER(SEARCH("하고 ",$AW37)),"한 줄에 동작 2개 · ","")&amp;IF(RIGHT($L37,2)&lt;&gt;"한다","~한다 로 안 끝남 · ","")&amp;IF(AND($P37&lt;&gt;"",N($P37)&gt;60),"1건 60분 넘음 — 더 쪼개세요 · ","")&amp;IF(AND($AA37="AI",$AD37&lt;&gt;"",N($AD37)&gt;0),"AI 혼자 하는데 사람 인원 있음 · ","")&amp;IF(AND($AA37="AI+사람",$AD37&lt;&gt;"",N($AD37)=0),"사람이 확인한다는데 인원 0 · ","")&amp;IF(AND($X37="유지",$Y37="AI"),"그대로 두는데 AI 를 쓴다고 함 · ","")&amp;IF(AND($X37="신설",COUNT($P37,$Q37)&gt;0),"새로 생기는 일인데 현재 공수가 있음 · ","")&amp;IF(AND($X37="삭제",COUNT($AC37,$AD37)&gt;0),"없애는 일인데 개선 후 공수가 있음 · ","")&amp;IF(AND($X37&lt;&gt;"신설",N($AH37)&gt;0,N($AI37)&gt;N($AH37)),"개선 후가 지금보다 더 오래 걸림 · ",""))</f>
        <v/>
      </c>
      <c r="BC37" s="28">
        <f t="shared" si="10"/>
        <v>0</v>
      </c>
    </row>
    <row r="38" spans="2:55" ht="21" customHeight="1" x14ac:dyDescent="0.3">
      <c r="B38" s="11"/>
      <c r="C38" s="11"/>
      <c r="D38" s="11"/>
      <c r="E38" s="11"/>
      <c r="F38" s="11"/>
      <c r="G38" s="11"/>
      <c r="H38" s="11"/>
      <c r="I38" s="11"/>
      <c r="J38" s="11"/>
      <c r="K38" s="22" t="str">
        <f>IF($L38="","",$C38&amp;"-"&amp;TEXT(COUNTIFS($C$6:$C38,$C38),"00"))</f>
        <v/>
      </c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25">
        <f>IF(OR($Q38="",$Q38=0,$P38=""),0,ROUND($P38*$Q38*IFERROR(IF($R38="건별/비정기",$T38,VLOOKUP($R38,'04.코드표'!$K$5:$L$8,2,FALSE)*$S38),0)/60,1))</f>
        <v>0</v>
      </c>
      <c r="AI38" s="25">
        <f>IF(OR($AD38="",$AD38=0,$AC38=""),0,ROUND($AC38*$AD38*IFERROR(IF($R38="건별/비정기",$T38,VLOOKUP($R38,'04.코드표'!$K$5:$L$8,2,FALSE)*$S38),0)/60,1))</f>
        <v>0</v>
      </c>
      <c r="AJ38" s="25" t="str">
        <f t="shared" ref="AJ38:AJ62" si="11">IF($L38="","",$AH38-$AI38)</f>
        <v/>
      </c>
      <c r="AK38" s="26" t="str">
        <f>IF($L38="","",ROUND($AJ38/'04.코드표'!$L$11,2))</f>
        <v/>
      </c>
      <c r="AL38" s="11"/>
      <c r="AM38" s="11"/>
      <c r="AN38" s="11"/>
      <c r="AO38" s="11"/>
      <c r="AP38" s="22" t="str">
        <f t="shared" ref="AP38:AP62" si="12">IF($L38="","",COUNTIFS($C$6:$C$62,$C38))</f>
        <v/>
      </c>
      <c r="AQ38" s="22" t="str">
        <f t="shared" ref="AQ38:AQ62" si="13">IF($L38="","",IF($AP38=1,"⚠ 1개뿐 — 더 쪼개세요",IF($AP38=2,"△ 2개뿐 — 빠진 단계 확인",IF($AZ38&lt;=2,"△ 하는 일이 "&amp;$AZ38&amp;"가지뿐 — 빠진 단계 확인","○ 좋음 (하는 일 "&amp;$AZ38&amp;"가지)"))))</f>
        <v/>
      </c>
      <c r="AR38" s="22" t="str">
        <f t="shared" ref="AR38:AR62" si="14">IF($L38="","",IF($BA38=0,"○ 다 채웠음","⚠ "&amp;$BA38&amp;"칸 비었음"))</f>
        <v/>
      </c>
      <c r="AS38" s="27" t="str">
        <f t="shared" ref="AS38:AS62" si="15">IF($L38="","",IF($BB38="","○ 문제 없음","⚠ "&amp;LEFT($BB38,LEN($BB38)-3)))</f>
        <v/>
      </c>
      <c r="AT38" s="11"/>
      <c r="AU38" s="11"/>
      <c r="AV38" s="28" t="str">
        <f t="shared" ref="AV38:AV62" si="16">IF($L38="","",TRIM(RIGHT(SUBSTITUTE($AW38," ",REPT(" ",120)),120)))</f>
        <v/>
      </c>
      <c r="AW38" s="28" t="str">
        <f t="shared" ref="AW38:AW62" si="17">SUBSTITUTE($L38,CHAR(10)," ")</f>
        <v/>
      </c>
      <c r="AX38" s="28" t="str">
        <f t="shared" ref="AX38:AX62" si="18">SUBSTITUTE($J38,CHAR(10)," ")</f>
        <v/>
      </c>
      <c r="AY38" s="28" t="str">
        <f>IF($L38="","",IF(SUMPRODUCT(--ISNUMBER(SEARCH({"조회","수집","추출","검색","파악","취합","조달","접수","연계","연동","선별","확보","입수","조사","식별","검출","감지","스크랩","필터링"},$AV38)))&gt;0,"조회",IF(SUMPRODUCT(--ISNUMBER(SEARCH({"검토","검증","판정","판별","확인","승인","선정","대조","점검","분류","확정","평가","판단","심사","검수","비교","결정","구분","진단","판독","협의"},$AV38)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38)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38)))&gt;0,"작성","기타")))))</f>
        <v/>
      </c>
      <c r="AZ38" s="28" t="str">
        <f t="shared" ref="AZ38:AZ62" si="19">IF($L38="","",(COUNTIFS($C$6:$C$62,$C38,$AY$6:$AY$62,"조회")&gt;0)+(COUNTIFS($C$6:$C$62,$C38,$AY$6:$AY$62,"작성")&gt;0)+(COUNTIFS($C$6:$C$62,$C38,$AY$6:$AY$62,"검증")&gt;0)+(COUNTIFS($C$6:$C$62,$C38,$AY$6:$AY$62,"등록")&gt;0))</f>
        <v/>
      </c>
      <c r="BA38" s="28">
        <f t="shared" ref="BA38:BA62" si="20">IF($L38="",0,IF($X38="신설",0,COUNTBLANK($N38)+COUNTBLANK($P38)+COUNTBLANK($Q38)+COUNTBLANK($R38)+IF($R38="건별/비정기",COUNTBLANK($T38),IF($R38="",0,COUNTBLANK($S38))))+IF($X38="삭제",0,COUNTBLANK($AC38)+COUNTBLANK($AD38)))</f>
        <v>0</v>
      </c>
      <c r="BB38" s="28" t="str">
        <f>IF($L38="","",IF(AND($AX38&lt;&gt;"",ISNUMBER(SEARCH($AX38,$AW38))),"L5 이름을 그대로 씀 · ","")&amp;IF(AND($L38&lt;&gt;"",$L38=$Z38),"개선 후 설명이 똑같음 · ","")&amp;IF(COUNTIFS($C$6:$C$62,$C38,$L$6:$L$62,$L38)&gt;1,"같은 내용이 또 있음 · ","")&amp;IF(AND($U38&lt;&gt;"",$U38=$V38),"필요 자료와 산출물이 같음 · ","")&amp;IF(AND($C38=$C5,$V5&lt;&gt;"",$U38&lt;&gt;"",ISERROR(SEARCH(SUBSTITUTE($V5,CHAR(10)," "),SUBSTITUTE($U38,CHAR(10)," "))),ISERROR(SEARCH(SUBSTITUTE($U38,CHAR(10)," "),SUBSTITUTE($V5,CHAR(10)," ")))),"앞 산출물과 이어지지 않음 · ","")&amp;IF(SUMPRODUCT(--ISNUMBER(SEARCH({"관리한다","처리한다","수행한다","진행한다"},$AW38)))&gt;0,"뭉뚱그린 동사 · ","")&amp;IF(ISNUMBER(SEARCH("하고 ",$AW38)),"한 줄에 동작 2개 · ","")&amp;IF(RIGHT($L38,2)&lt;&gt;"한다","~한다 로 안 끝남 · ","")&amp;IF(AND($P38&lt;&gt;"",N($P38)&gt;60),"1건 60분 넘음 — 더 쪼개세요 · ","")&amp;IF(AND($AA38="AI",$AD38&lt;&gt;"",N($AD38)&gt;0),"AI 혼자 하는데 사람 인원 있음 · ","")&amp;IF(AND($AA38="AI+사람",$AD38&lt;&gt;"",N($AD38)=0),"사람이 확인한다는데 인원 0 · ","")&amp;IF(AND($X38="유지",$Y38="AI"),"그대로 두는데 AI 를 쓴다고 함 · ","")&amp;IF(AND($X38="신설",COUNT($P38,$Q38)&gt;0),"새로 생기는 일인데 현재 공수가 있음 · ","")&amp;IF(AND($X38="삭제",COUNT($AC38,$AD38)&gt;0),"없애는 일인데 개선 후 공수가 있음 · ","")&amp;IF(AND($X38&lt;&gt;"신설",N($AH38)&gt;0,N($AI38)&gt;N($AH38)),"개선 후가 지금보다 더 오래 걸림 · ",""))</f>
        <v/>
      </c>
      <c r="BC38" s="28">
        <f t="shared" ref="BC38:BC62" si="21">IFERROR(IF($L38="",0,1/$AP38),0)</f>
        <v>0</v>
      </c>
    </row>
    <row r="39" spans="2:55" ht="21" customHeight="1" x14ac:dyDescent="0.3">
      <c r="B39" s="11"/>
      <c r="C39" s="11"/>
      <c r="D39" s="11"/>
      <c r="E39" s="11"/>
      <c r="F39" s="11"/>
      <c r="G39" s="11"/>
      <c r="H39" s="11"/>
      <c r="I39" s="11"/>
      <c r="J39" s="11"/>
      <c r="K39" s="22" t="str">
        <f>IF($L39="","",$C39&amp;"-"&amp;TEXT(COUNTIFS($C$6:$C39,$C39),"00"))</f>
        <v/>
      </c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25">
        <f>IF(OR($Q39="",$Q39=0,$P39=""),0,ROUND($P39*$Q39*IFERROR(IF($R39="건별/비정기",$T39,VLOOKUP($R39,'04.코드표'!$K$5:$L$8,2,FALSE)*$S39),0)/60,1))</f>
        <v>0</v>
      </c>
      <c r="AI39" s="25">
        <f>IF(OR($AD39="",$AD39=0,$AC39=""),0,ROUND($AC39*$AD39*IFERROR(IF($R39="건별/비정기",$T39,VLOOKUP($R39,'04.코드표'!$K$5:$L$8,2,FALSE)*$S39),0)/60,1))</f>
        <v>0</v>
      </c>
      <c r="AJ39" s="25" t="str">
        <f t="shared" si="11"/>
        <v/>
      </c>
      <c r="AK39" s="26" t="str">
        <f>IF($L39="","",ROUND($AJ39/'04.코드표'!$L$11,2))</f>
        <v/>
      </c>
      <c r="AL39" s="11"/>
      <c r="AM39" s="11"/>
      <c r="AN39" s="11"/>
      <c r="AO39" s="11"/>
      <c r="AP39" s="22" t="str">
        <f t="shared" si="12"/>
        <v/>
      </c>
      <c r="AQ39" s="22" t="str">
        <f t="shared" si="13"/>
        <v/>
      </c>
      <c r="AR39" s="22" t="str">
        <f t="shared" si="14"/>
        <v/>
      </c>
      <c r="AS39" s="27" t="str">
        <f t="shared" si="15"/>
        <v/>
      </c>
      <c r="AT39" s="11"/>
      <c r="AU39" s="11"/>
      <c r="AV39" s="28" t="str">
        <f t="shared" si="16"/>
        <v/>
      </c>
      <c r="AW39" s="28" t="str">
        <f t="shared" si="17"/>
        <v/>
      </c>
      <c r="AX39" s="28" t="str">
        <f t="shared" si="18"/>
        <v/>
      </c>
      <c r="AY39" s="28" t="str">
        <f>IF($L39="","",IF(SUMPRODUCT(--ISNUMBER(SEARCH({"조회","수집","추출","검색","파악","취합","조달","접수","연계","연동","선별","확보","입수","조사","식별","검출","감지","스크랩","필터링"},$AV39)))&gt;0,"조회",IF(SUMPRODUCT(--ISNUMBER(SEARCH({"검토","검증","판정","판별","확인","승인","선정","대조","점검","분류","확정","평가","판단","심사","검수","비교","결정","구분","진단","판독","협의"},$AV39)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39)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39)))&gt;0,"작성","기타")))))</f>
        <v/>
      </c>
      <c r="AZ39" s="28" t="str">
        <f t="shared" si="19"/>
        <v/>
      </c>
      <c r="BA39" s="28">
        <f t="shared" si="20"/>
        <v>0</v>
      </c>
      <c r="BB39" s="28" t="str">
        <f>IF($L39="","",IF(AND($AX39&lt;&gt;"",ISNUMBER(SEARCH($AX39,$AW39))),"L5 이름을 그대로 씀 · ","")&amp;IF(AND($L39&lt;&gt;"",$L39=$Z39),"개선 후 설명이 똑같음 · ","")&amp;IF(COUNTIFS($C$6:$C$62,$C39,$L$6:$L$62,$L39)&gt;1,"같은 내용이 또 있음 · ","")&amp;IF(AND($U39&lt;&gt;"",$U39=$V39),"필요 자료와 산출물이 같음 · ","")&amp;IF(AND($C39=$C5,$V5&lt;&gt;"",$U39&lt;&gt;"",ISERROR(SEARCH(SUBSTITUTE($V5,CHAR(10)," "),SUBSTITUTE($U39,CHAR(10)," "))),ISERROR(SEARCH(SUBSTITUTE($U39,CHAR(10)," "),SUBSTITUTE($V5,CHAR(10)," ")))),"앞 산출물과 이어지지 않음 · ","")&amp;IF(SUMPRODUCT(--ISNUMBER(SEARCH({"관리한다","처리한다","수행한다","진행한다"},$AW39)))&gt;0,"뭉뚱그린 동사 · ","")&amp;IF(ISNUMBER(SEARCH("하고 ",$AW39)),"한 줄에 동작 2개 · ","")&amp;IF(RIGHT($L39,2)&lt;&gt;"한다","~한다 로 안 끝남 · ","")&amp;IF(AND($P39&lt;&gt;"",N($P39)&gt;60),"1건 60분 넘음 — 더 쪼개세요 · ","")&amp;IF(AND($AA39="AI",$AD39&lt;&gt;"",N($AD39)&gt;0),"AI 혼자 하는데 사람 인원 있음 · ","")&amp;IF(AND($AA39="AI+사람",$AD39&lt;&gt;"",N($AD39)=0),"사람이 확인한다는데 인원 0 · ","")&amp;IF(AND($X39="유지",$Y39="AI"),"그대로 두는데 AI 를 쓴다고 함 · ","")&amp;IF(AND($X39="신설",COUNT($P39,$Q39)&gt;0),"새로 생기는 일인데 현재 공수가 있음 · ","")&amp;IF(AND($X39="삭제",COUNT($AC39,$AD39)&gt;0),"없애는 일인데 개선 후 공수가 있음 · ","")&amp;IF(AND($X39&lt;&gt;"신설",N($AH39)&gt;0,N($AI39)&gt;N($AH39)),"개선 후가 지금보다 더 오래 걸림 · ",""))</f>
        <v/>
      </c>
      <c r="BC39" s="28">
        <f t="shared" si="21"/>
        <v>0</v>
      </c>
    </row>
    <row r="40" spans="2:55" ht="21" customHeight="1" x14ac:dyDescent="0.3">
      <c r="B40" s="11"/>
      <c r="C40" s="11"/>
      <c r="D40" s="11"/>
      <c r="E40" s="11"/>
      <c r="F40" s="11"/>
      <c r="G40" s="11"/>
      <c r="H40" s="11"/>
      <c r="I40" s="11"/>
      <c r="J40" s="11"/>
      <c r="K40" s="22" t="str">
        <f>IF($L40="","",$C40&amp;"-"&amp;TEXT(COUNTIFS($C$6:$C40,$C40),"00"))</f>
        <v/>
      </c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25">
        <f>IF(OR($Q40="",$Q40=0,$P40=""),0,ROUND($P40*$Q40*IFERROR(IF($R40="건별/비정기",$T40,VLOOKUP($R40,'04.코드표'!$K$5:$L$8,2,FALSE)*$S40),0)/60,1))</f>
        <v>0</v>
      </c>
      <c r="AI40" s="25">
        <f>IF(OR($AD40="",$AD40=0,$AC40=""),0,ROUND($AC40*$AD40*IFERROR(IF($R40="건별/비정기",$T40,VLOOKUP($R40,'04.코드표'!$K$5:$L$8,2,FALSE)*$S40),0)/60,1))</f>
        <v>0</v>
      </c>
      <c r="AJ40" s="25" t="str">
        <f t="shared" si="11"/>
        <v/>
      </c>
      <c r="AK40" s="26" t="str">
        <f>IF($L40="","",ROUND($AJ40/'04.코드표'!$L$11,2))</f>
        <v/>
      </c>
      <c r="AL40" s="11"/>
      <c r="AM40" s="11"/>
      <c r="AN40" s="11"/>
      <c r="AO40" s="11"/>
      <c r="AP40" s="22" t="str">
        <f t="shared" si="12"/>
        <v/>
      </c>
      <c r="AQ40" s="22" t="str">
        <f t="shared" si="13"/>
        <v/>
      </c>
      <c r="AR40" s="22" t="str">
        <f t="shared" si="14"/>
        <v/>
      </c>
      <c r="AS40" s="27" t="str">
        <f t="shared" si="15"/>
        <v/>
      </c>
      <c r="AT40" s="11"/>
      <c r="AU40" s="11"/>
      <c r="AV40" s="28" t="str">
        <f t="shared" si="16"/>
        <v/>
      </c>
      <c r="AW40" s="28" t="str">
        <f t="shared" si="17"/>
        <v/>
      </c>
      <c r="AX40" s="28" t="str">
        <f t="shared" si="18"/>
        <v/>
      </c>
      <c r="AY40" s="28" t="str">
        <f>IF($L40="","",IF(SUMPRODUCT(--ISNUMBER(SEARCH({"조회","수집","추출","검색","파악","취합","조달","접수","연계","연동","선별","확보","입수","조사","식별","검출","감지","스크랩","필터링"},$AV40)))&gt;0,"조회",IF(SUMPRODUCT(--ISNUMBER(SEARCH({"검토","검증","판정","판별","확인","승인","선정","대조","점검","분류","확정","평가","판단","심사","검수","비교","결정","구분","진단","판독","협의"},$AV40)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40)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40)))&gt;0,"작성","기타")))))</f>
        <v/>
      </c>
      <c r="AZ40" s="28" t="str">
        <f t="shared" si="19"/>
        <v/>
      </c>
      <c r="BA40" s="28">
        <f t="shared" si="20"/>
        <v>0</v>
      </c>
      <c r="BB40" s="28" t="str">
        <f>IF($L40="","",IF(AND($AX40&lt;&gt;"",ISNUMBER(SEARCH($AX40,$AW40))),"L5 이름을 그대로 씀 · ","")&amp;IF(AND($L40&lt;&gt;"",$L40=$Z40),"개선 후 설명이 똑같음 · ","")&amp;IF(COUNTIFS($C$6:$C$62,$C40,$L$6:$L$62,$L40)&gt;1,"같은 내용이 또 있음 · ","")&amp;IF(AND($U40&lt;&gt;"",$U40=$V40),"필요 자료와 산출물이 같음 · ","")&amp;IF(AND($C40=$C5,$V5&lt;&gt;"",$U40&lt;&gt;"",ISERROR(SEARCH(SUBSTITUTE($V5,CHAR(10)," "),SUBSTITUTE($U40,CHAR(10)," "))),ISERROR(SEARCH(SUBSTITUTE($U40,CHAR(10)," "),SUBSTITUTE($V5,CHAR(10)," ")))),"앞 산출물과 이어지지 않음 · ","")&amp;IF(SUMPRODUCT(--ISNUMBER(SEARCH({"관리한다","처리한다","수행한다","진행한다"},$AW40)))&gt;0,"뭉뚱그린 동사 · ","")&amp;IF(ISNUMBER(SEARCH("하고 ",$AW40)),"한 줄에 동작 2개 · ","")&amp;IF(RIGHT($L40,2)&lt;&gt;"한다","~한다 로 안 끝남 · ","")&amp;IF(AND($P40&lt;&gt;"",N($P40)&gt;60),"1건 60분 넘음 — 더 쪼개세요 · ","")&amp;IF(AND($AA40="AI",$AD40&lt;&gt;"",N($AD40)&gt;0),"AI 혼자 하는데 사람 인원 있음 · ","")&amp;IF(AND($AA40="AI+사람",$AD40&lt;&gt;"",N($AD40)=0),"사람이 확인한다는데 인원 0 · ","")&amp;IF(AND($X40="유지",$Y40="AI"),"그대로 두는데 AI 를 쓴다고 함 · ","")&amp;IF(AND($X40="신설",COUNT($P40,$Q40)&gt;0),"새로 생기는 일인데 현재 공수가 있음 · ","")&amp;IF(AND($X40="삭제",COUNT($AC40,$AD40)&gt;0),"없애는 일인데 개선 후 공수가 있음 · ","")&amp;IF(AND($X40&lt;&gt;"신설",N($AH40)&gt;0,N($AI40)&gt;N($AH40)),"개선 후가 지금보다 더 오래 걸림 · ",""))</f>
        <v/>
      </c>
      <c r="BC40" s="28">
        <f t="shared" si="21"/>
        <v>0</v>
      </c>
    </row>
    <row r="41" spans="2:55" ht="21" customHeight="1" x14ac:dyDescent="0.3">
      <c r="B41" s="11"/>
      <c r="C41" s="11"/>
      <c r="D41" s="11"/>
      <c r="E41" s="11"/>
      <c r="F41" s="11"/>
      <c r="G41" s="11"/>
      <c r="H41" s="11"/>
      <c r="I41" s="11"/>
      <c r="J41" s="11"/>
      <c r="K41" s="22" t="str">
        <f>IF($L41="","",$C41&amp;"-"&amp;TEXT(COUNTIFS($C$6:$C41,$C41),"00"))</f>
        <v/>
      </c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25">
        <f>IF(OR($Q41="",$Q41=0,$P41=""),0,ROUND($P41*$Q41*IFERROR(IF($R41="건별/비정기",$T41,VLOOKUP($R41,'04.코드표'!$K$5:$L$8,2,FALSE)*$S41),0)/60,1))</f>
        <v>0</v>
      </c>
      <c r="AI41" s="25">
        <f>IF(OR($AD41="",$AD41=0,$AC41=""),0,ROUND($AC41*$AD41*IFERROR(IF($R41="건별/비정기",$T41,VLOOKUP($R41,'04.코드표'!$K$5:$L$8,2,FALSE)*$S41),0)/60,1))</f>
        <v>0</v>
      </c>
      <c r="AJ41" s="25" t="str">
        <f t="shared" si="11"/>
        <v/>
      </c>
      <c r="AK41" s="26" t="str">
        <f>IF($L41="","",ROUND($AJ41/'04.코드표'!$L$11,2))</f>
        <v/>
      </c>
      <c r="AL41" s="11"/>
      <c r="AM41" s="11"/>
      <c r="AN41" s="11"/>
      <c r="AO41" s="11"/>
      <c r="AP41" s="22" t="str">
        <f t="shared" si="12"/>
        <v/>
      </c>
      <c r="AQ41" s="22" t="str">
        <f t="shared" si="13"/>
        <v/>
      </c>
      <c r="AR41" s="22" t="str">
        <f t="shared" si="14"/>
        <v/>
      </c>
      <c r="AS41" s="27" t="str">
        <f t="shared" si="15"/>
        <v/>
      </c>
      <c r="AT41" s="11"/>
      <c r="AU41" s="11"/>
      <c r="AV41" s="28" t="str">
        <f t="shared" si="16"/>
        <v/>
      </c>
      <c r="AW41" s="28" t="str">
        <f t="shared" si="17"/>
        <v/>
      </c>
      <c r="AX41" s="28" t="str">
        <f t="shared" si="18"/>
        <v/>
      </c>
      <c r="AY41" s="28" t="str">
        <f>IF($L41="","",IF(SUMPRODUCT(--ISNUMBER(SEARCH({"조회","수집","추출","검색","파악","취합","조달","접수","연계","연동","선별","확보","입수","조사","식별","검출","감지","스크랩","필터링"},$AV41)))&gt;0,"조회",IF(SUMPRODUCT(--ISNUMBER(SEARCH({"검토","검증","판정","판별","확인","승인","선정","대조","점검","분류","확정","평가","판단","심사","검수","비교","결정","구분","진단","판독","협의"},$AV41)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41)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41)))&gt;0,"작성","기타")))))</f>
        <v/>
      </c>
      <c r="AZ41" s="28" t="str">
        <f t="shared" si="19"/>
        <v/>
      </c>
      <c r="BA41" s="28">
        <f t="shared" si="20"/>
        <v>0</v>
      </c>
      <c r="BB41" s="28" t="str">
        <f>IF($L41="","",IF(AND($AX41&lt;&gt;"",ISNUMBER(SEARCH($AX41,$AW41))),"L5 이름을 그대로 씀 · ","")&amp;IF(AND($L41&lt;&gt;"",$L41=$Z41),"개선 후 설명이 똑같음 · ","")&amp;IF(COUNTIFS($C$6:$C$62,$C41,$L$6:$L$62,$L41)&gt;1,"같은 내용이 또 있음 · ","")&amp;IF(AND($U41&lt;&gt;"",$U41=$V41),"필요 자료와 산출물이 같음 · ","")&amp;IF(AND($C41=$C5,$V5&lt;&gt;"",$U41&lt;&gt;"",ISERROR(SEARCH(SUBSTITUTE($V5,CHAR(10)," "),SUBSTITUTE($U41,CHAR(10)," "))),ISERROR(SEARCH(SUBSTITUTE($U41,CHAR(10)," "),SUBSTITUTE($V5,CHAR(10)," ")))),"앞 산출물과 이어지지 않음 · ","")&amp;IF(SUMPRODUCT(--ISNUMBER(SEARCH({"관리한다","처리한다","수행한다","진행한다"},$AW41)))&gt;0,"뭉뚱그린 동사 · ","")&amp;IF(ISNUMBER(SEARCH("하고 ",$AW41)),"한 줄에 동작 2개 · ","")&amp;IF(RIGHT($L41,2)&lt;&gt;"한다","~한다 로 안 끝남 · ","")&amp;IF(AND($P41&lt;&gt;"",N($P41)&gt;60),"1건 60분 넘음 — 더 쪼개세요 · ","")&amp;IF(AND($AA41="AI",$AD41&lt;&gt;"",N($AD41)&gt;0),"AI 혼자 하는데 사람 인원 있음 · ","")&amp;IF(AND($AA41="AI+사람",$AD41&lt;&gt;"",N($AD41)=0),"사람이 확인한다는데 인원 0 · ","")&amp;IF(AND($X41="유지",$Y41="AI"),"그대로 두는데 AI 를 쓴다고 함 · ","")&amp;IF(AND($X41="신설",COUNT($P41,$Q41)&gt;0),"새로 생기는 일인데 현재 공수가 있음 · ","")&amp;IF(AND($X41="삭제",COUNT($AC41,$AD41)&gt;0),"없애는 일인데 개선 후 공수가 있음 · ","")&amp;IF(AND($X41&lt;&gt;"신설",N($AH41)&gt;0,N($AI41)&gt;N($AH41)),"개선 후가 지금보다 더 오래 걸림 · ",""))</f>
        <v/>
      </c>
      <c r="BC41" s="28">
        <f t="shared" si="21"/>
        <v>0</v>
      </c>
    </row>
    <row r="42" spans="2:55" ht="21" customHeight="1" x14ac:dyDescent="0.3">
      <c r="B42" s="11"/>
      <c r="C42" s="11"/>
      <c r="D42" s="11"/>
      <c r="E42" s="11"/>
      <c r="F42" s="11"/>
      <c r="G42" s="11"/>
      <c r="H42" s="11"/>
      <c r="I42" s="11"/>
      <c r="J42" s="11"/>
      <c r="K42" s="22" t="str">
        <f>IF($L42="","",$C42&amp;"-"&amp;TEXT(COUNTIFS($C$6:$C42,$C42),"00"))</f>
        <v/>
      </c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25">
        <f>IF(OR($Q42="",$Q42=0,$P42=""),0,ROUND($P42*$Q42*IFERROR(IF($R42="건별/비정기",$T42,VLOOKUP($R42,'04.코드표'!$K$5:$L$8,2,FALSE)*$S42),0)/60,1))</f>
        <v>0</v>
      </c>
      <c r="AI42" s="25">
        <f>IF(OR($AD42="",$AD42=0,$AC42=""),0,ROUND($AC42*$AD42*IFERROR(IF($R42="건별/비정기",$T42,VLOOKUP($R42,'04.코드표'!$K$5:$L$8,2,FALSE)*$S42),0)/60,1))</f>
        <v>0</v>
      </c>
      <c r="AJ42" s="25" t="str">
        <f t="shared" si="11"/>
        <v/>
      </c>
      <c r="AK42" s="26" t="str">
        <f>IF($L42="","",ROUND($AJ42/'04.코드표'!$L$11,2))</f>
        <v/>
      </c>
      <c r="AL42" s="11"/>
      <c r="AM42" s="11"/>
      <c r="AN42" s="11"/>
      <c r="AO42" s="11"/>
      <c r="AP42" s="22" t="str">
        <f t="shared" si="12"/>
        <v/>
      </c>
      <c r="AQ42" s="22" t="str">
        <f t="shared" si="13"/>
        <v/>
      </c>
      <c r="AR42" s="22" t="str">
        <f t="shared" si="14"/>
        <v/>
      </c>
      <c r="AS42" s="27" t="str">
        <f t="shared" si="15"/>
        <v/>
      </c>
      <c r="AT42" s="11"/>
      <c r="AU42" s="11"/>
      <c r="AV42" s="28" t="str">
        <f t="shared" si="16"/>
        <v/>
      </c>
      <c r="AW42" s="28" t="str">
        <f t="shared" si="17"/>
        <v/>
      </c>
      <c r="AX42" s="28" t="str">
        <f t="shared" si="18"/>
        <v/>
      </c>
      <c r="AY42" s="28" t="str">
        <f>IF($L42="","",IF(SUMPRODUCT(--ISNUMBER(SEARCH({"조회","수집","추출","검색","파악","취합","조달","접수","연계","연동","선별","확보","입수","조사","식별","검출","감지","스크랩","필터링"},$AV42)))&gt;0,"조회",IF(SUMPRODUCT(--ISNUMBER(SEARCH({"검토","검증","판정","판별","확인","승인","선정","대조","점검","분류","확정","평가","판단","심사","검수","비교","결정","구분","진단","판독","협의"},$AV42)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42)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42)))&gt;0,"작성","기타")))))</f>
        <v/>
      </c>
      <c r="AZ42" s="28" t="str">
        <f t="shared" si="19"/>
        <v/>
      </c>
      <c r="BA42" s="28">
        <f t="shared" si="20"/>
        <v>0</v>
      </c>
      <c r="BB42" s="28" t="str">
        <f>IF($L42="","",IF(AND($AX42&lt;&gt;"",ISNUMBER(SEARCH($AX42,$AW42))),"L5 이름을 그대로 씀 · ","")&amp;IF(AND($L42&lt;&gt;"",$L42=$Z42),"개선 후 설명이 똑같음 · ","")&amp;IF(COUNTIFS($C$6:$C$62,$C42,$L$6:$L$62,$L42)&gt;1,"같은 내용이 또 있음 · ","")&amp;IF(AND($U42&lt;&gt;"",$U42=$V42),"필요 자료와 산출물이 같음 · ","")&amp;IF(AND($C42=$C5,$V5&lt;&gt;"",$U42&lt;&gt;"",ISERROR(SEARCH(SUBSTITUTE($V5,CHAR(10)," "),SUBSTITUTE($U42,CHAR(10)," "))),ISERROR(SEARCH(SUBSTITUTE($U42,CHAR(10)," "),SUBSTITUTE($V5,CHAR(10)," ")))),"앞 산출물과 이어지지 않음 · ","")&amp;IF(SUMPRODUCT(--ISNUMBER(SEARCH({"관리한다","처리한다","수행한다","진행한다"},$AW42)))&gt;0,"뭉뚱그린 동사 · ","")&amp;IF(ISNUMBER(SEARCH("하고 ",$AW42)),"한 줄에 동작 2개 · ","")&amp;IF(RIGHT($L42,2)&lt;&gt;"한다","~한다 로 안 끝남 · ","")&amp;IF(AND($P42&lt;&gt;"",N($P42)&gt;60),"1건 60분 넘음 — 더 쪼개세요 · ","")&amp;IF(AND($AA42="AI",$AD42&lt;&gt;"",N($AD42)&gt;0),"AI 혼자 하는데 사람 인원 있음 · ","")&amp;IF(AND($AA42="AI+사람",$AD42&lt;&gt;"",N($AD42)=0),"사람이 확인한다는데 인원 0 · ","")&amp;IF(AND($X42="유지",$Y42="AI"),"그대로 두는데 AI 를 쓴다고 함 · ","")&amp;IF(AND($X42="신설",COUNT($P42,$Q42)&gt;0),"새로 생기는 일인데 현재 공수가 있음 · ","")&amp;IF(AND($X42="삭제",COUNT($AC42,$AD42)&gt;0),"없애는 일인데 개선 후 공수가 있음 · ","")&amp;IF(AND($X42&lt;&gt;"신설",N($AH42)&gt;0,N($AI42)&gt;N($AH42)),"개선 후가 지금보다 더 오래 걸림 · ",""))</f>
        <v/>
      </c>
      <c r="BC42" s="28">
        <f t="shared" si="21"/>
        <v>0</v>
      </c>
    </row>
    <row r="43" spans="2:55" ht="21" customHeight="1" x14ac:dyDescent="0.3">
      <c r="B43" s="11"/>
      <c r="C43" s="11"/>
      <c r="D43" s="11"/>
      <c r="E43" s="11"/>
      <c r="F43" s="11"/>
      <c r="G43" s="11"/>
      <c r="H43" s="11"/>
      <c r="I43" s="11"/>
      <c r="J43" s="11"/>
      <c r="K43" s="22" t="str">
        <f>IF($L43="","",$C43&amp;"-"&amp;TEXT(COUNTIFS($C$6:$C43,$C43),"00"))</f>
        <v/>
      </c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25">
        <f>IF(OR($Q43="",$Q43=0,$P43=""),0,ROUND($P43*$Q43*IFERROR(IF($R43="건별/비정기",$T43,VLOOKUP($R43,'04.코드표'!$K$5:$L$8,2,FALSE)*$S43),0)/60,1))</f>
        <v>0</v>
      </c>
      <c r="AI43" s="25">
        <f>IF(OR($AD43="",$AD43=0,$AC43=""),0,ROUND($AC43*$AD43*IFERROR(IF($R43="건별/비정기",$T43,VLOOKUP($R43,'04.코드표'!$K$5:$L$8,2,FALSE)*$S43),0)/60,1))</f>
        <v>0</v>
      </c>
      <c r="AJ43" s="25" t="str">
        <f t="shared" si="11"/>
        <v/>
      </c>
      <c r="AK43" s="26" t="str">
        <f>IF($L43="","",ROUND($AJ43/'04.코드표'!$L$11,2))</f>
        <v/>
      </c>
      <c r="AL43" s="11"/>
      <c r="AM43" s="11"/>
      <c r="AN43" s="11"/>
      <c r="AO43" s="11"/>
      <c r="AP43" s="22" t="str">
        <f t="shared" si="12"/>
        <v/>
      </c>
      <c r="AQ43" s="22" t="str">
        <f t="shared" si="13"/>
        <v/>
      </c>
      <c r="AR43" s="22" t="str">
        <f t="shared" si="14"/>
        <v/>
      </c>
      <c r="AS43" s="27" t="str">
        <f t="shared" si="15"/>
        <v/>
      </c>
      <c r="AT43" s="11"/>
      <c r="AU43" s="11"/>
      <c r="AV43" s="28" t="str">
        <f t="shared" si="16"/>
        <v/>
      </c>
      <c r="AW43" s="28" t="str">
        <f t="shared" si="17"/>
        <v/>
      </c>
      <c r="AX43" s="28" t="str">
        <f t="shared" si="18"/>
        <v/>
      </c>
      <c r="AY43" s="28" t="str">
        <f>IF($L43="","",IF(SUMPRODUCT(--ISNUMBER(SEARCH({"조회","수집","추출","검색","파악","취합","조달","접수","연계","연동","선별","확보","입수","조사","식별","검출","감지","스크랩","필터링"},$AV43)))&gt;0,"조회",IF(SUMPRODUCT(--ISNUMBER(SEARCH({"검토","검증","판정","판별","확인","승인","선정","대조","점검","분류","확정","평가","판단","심사","검수","비교","결정","구분","진단","판독","협의"},$AV43)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43)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43)))&gt;0,"작성","기타")))))</f>
        <v/>
      </c>
      <c r="AZ43" s="28" t="str">
        <f t="shared" si="19"/>
        <v/>
      </c>
      <c r="BA43" s="28">
        <f t="shared" si="20"/>
        <v>0</v>
      </c>
      <c r="BB43" s="28" t="str">
        <f>IF($L43="","",IF(AND($AX43&lt;&gt;"",ISNUMBER(SEARCH($AX43,$AW43))),"L5 이름을 그대로 씀 · ","")&amp;IF(AND($L43&lt;&gt;"",$L43=$Z43),"개선 후 설명이 똑같음 · ","")&amp;IF(COUNTIFS($C$6:$C$62,$C43,$L$6:$L$62,$L43)&gt;1,"같은 내용이 또 있음 · ","")&amp;IF(AND($U43&lt;&gt;"",$U43=$V43),"필요 자료와 산출물이 같음 · ","")&amp;IF(AND($C43=$C5,$V5&lt;&gt;"",$U43&lt;&gt;"",ISERROR(SEARCH(SUBSTITUTE($V5,CHAR(10)," "),SUBSTITUTE($U43,CHAR(10)," "))),ISERROR(SEARCH(SUBSTITUTE($U43,CHAR(10)," "),SUBSTITUTE($V5,CHAR(10)," ")))),"앞 산출물과 이어지지 않음 · ","")&amp;IF(SUMPRODUCT(--ISNUMBER(SEARCH({"관리한다","처리한다","수행한다","진행한다"},$AW43)))&gt;0,"뭉뚱그린 동사 · ","")&amp;IF(ISNUMBER(SEARCH("하고 ",$AW43)),"한 줄에 동작 2개 · ","")&amp;IF(RIGHT($L43,2)&lt;&gt;"한다","~한다 로 안 끝남 · ","")&amp;IF(AND($P43&lt;&gt;"",N($P43)&gt;60),"1건 60분 넘음 — 더 쪼개세요 · ","")&amp;IF(AND($AA43="AI",$AD43&lt;&gt;"",N($AD43)&gt;0),"AI 혼자 하는데 사람 인원 있음 · ","")&amp;IF(AND($AA43="AI+사람",$AD43&lt;&gt;"",N($AD43)=0),"사람이 확인한다는데 인원 0 · ","")&amp;IF(AND($X43="유지",$Y43="AI"),"그대로 두는데 AI 를 쓴다고 함 · ","")&amp;IF(AND($X43="신설",COUNT($P43,$Q43)&gt;0),"새로 생기는 일인데 현재 공수가 있음 · ","")&amp;IF(AND($X43="삭제",COUNT($AC43,$AD43)&gt;0),"없애는 일인데 개선 후 공수가 있음 · ","")&amp;IF(AND($X43&lt;&gt;"신설",N($AH43)&gt;0,N($AI43)&gt;N($AH43)),"개선 후가 지금보다 더 오래 걸림 · ",""))</f>
        <v/>
      </c>
      <c r="BC43" s="28">
        <f t="shared" si="21"/>
        <v>0</v>
      </c>
    </row>
    <row r="44" spans="2:55" ht="21" customHeight="1" x14ac:dyDescent="0.3">
      <c r="B44" s="11"/>
      <c r="C44" s="11"/>
      <c r="D44" s="11"/>
      <c r="E44" s="11"/>
      <c r="F44" s="11"/>
      <c r="G44" s="11"/>
      <c r="H44" s="11"/>
      <c r="I44" s="11"/>
      <c r="J44" s="11"/>
      <c r="K44" s="22" t="str">
        <f>IF($L44="","",$C44&amp;"-"&amp;TEXT(COUNTIFS($C$6:$C44,$C44),"00"))</f>
        <v/>
      </c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25">
        <f>IF(OR($Q44="",$Q44=0,$P44=""),0,ROUND($P44*$Q44*IFERROR(IF($R44="건별/비정기",$T44,VLOOKUP($R44,'04.코드표'!$K$5:$L$8,2,FALSE)*$S44),0)/60,1))</f>
        <v>0</v>
      </c>
      <c r="AI44" s="25">
        <f>IF(OR($AD44="",$AD44=0,$AC44=""),0,ROUND($AC44*$AD44*IFERROR(IF($R44="건별/비정기",$T44,VLOOKUP($R44,'04.코드표'!$K$5:$L$8,2,FALSE)*$S44),0)/60,1))</f>
        <v>0</v>
      </c>
      <c r="AJ44" s="25" t="str">
        <f t="shared" si="11"/>
        <v/>
      </c>
      <c r="AK44" s="26" t="str">
        <f>IF($L44="","",ROUND($AJ44/'04.코드표'!$L$11,2))</f>
        <v/>
      </c>
      <c r="AL44" s="11"/>
      <c r="AM44" s="11"/>
      <c r="AN44" s="11"/>
      <c r="AO44" s="11"/>
      <c r="AP44" s="22" t="str">
        <f t="shared" si="12"/>
        <v/>
      </c>
      <c r="AQ44" s="22" t="str">
        <f t="shared" si="13"/>
        <v/>
      </c>
      <c r="AR44" s="22" t="str">
        <f t="shared" si="14"/>
        <v/>
      </c>
      <c r="AS44" s="27" t="str">
        <f t="shared" si="15"/>
        <v/>
      </c>
      <c r="AT44" s="11"/>
      <c r="AU44" s="11"/>
      <c r="AV44" s="28" t="str">
        <f t="shared" si="16"/>
        <v/>
      </c>
      <c r="AW44" s="28" t="str">
        <f t="shared" si="17"/>
        <v/>
      </c>
      <c r="AX44" s="28" t="str">
        <f t="shared" si="18"/>
        <v/>
      </c>
      <c r="AY44" s="28" t="str">
        <f>IF($L44="","",IF(SUMPRODUCT(--ISNUMBER(SEARCH({"조회","수집","추출","검색","파악","취합","조달","접수","연계","연동","선별","확보","입수","조사","식별","검출","감지","스크랩","필터링"},$AV44)))&gt;0,"조회",IF(SUMPRODUCT(--ISNUMBER(SEARCH({"검토","검증","판정","판별","확인","승인","선정","대조","점검","분류","확정","평가","판단","심사","검수","비교","결정","구분","진단","판독","협의"},$AV44)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44)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44)))&gt;0,"작성","기타")))))</f>
        <v/>
      </c>
      <c r="AZ44" s="28" t="str">
        <f t="shared" si="19"/>
        <v/>
      </c>
      <c r="BA44" s="28">
        <f t="shared" si="20"/>
        <v>0</v>
      </c>
      <c r="BB44" s="28" t="str">
        <f>IF($L44="","",IF(AND($AX44&lt;&gt;"",ISNUMBER(SEARCH($AX44,$AW44))),"L5 이름을 그대로 씀 · ","")&amp;IF(AND($L44&lt;&gt;"",$L44=$Z44),"개선 후 설명이 똑같음 · ","")&amp;IF(COUNTIFS($C$6:$C$62,$C44,$L$6:$L$62,$L44)&gt;1,"같은 내용이 또 있음 · ","")&amp;IF(AND($U44&lt;&gt;"",$U44=$V44),"필요 자료와 산출물이 같음 · ","")&amp;IF(AND($C44=$C5,$V5&lt;&gt;"",$U44&lt;&gt;"",ISERROR(SEARCH(SUBSTITUTE($V5,CHAR(10)," "),SUBSTITUTE($U44,CHAR(10)," "))),ISERROR(SEARCH(SUBSTITUTE($U44,CHAR(10)," "),SUBSTITUTE($V5,CHAR(10)," ")))),"앞 산출물과 이어지지 않음 · ","")&amp;IF(SUMPRODUCT(--ISNUMBER(SEARCH({"관리한다","처리한다","수행한다","진행한다"},$AW44)))&gt;0,"뭉뚱그린 동사 · ","")&amp;IF(ISNUMBER(SEARCH("하고 ",$AW44)),"한 줄에 동작 2개 · ","")&amp;IF(RIGHT($L44,2)&lt;&gt;"한다","~한다 로 안 끝남 · ","")&amp;IF(AND($P44&lt;&gt;"",N($P44)&gt;60),"1건 60분 넘음 — 더 쪼개세요 · ","")&amp;IF(AND($AA44="AI",$AD44&lt;&gt;"",N($AD44)&gt;0),"AI 혼자 하는데 사람 인원 있음 · ","")&amp;IF(AND($AA44="AI+사람",$AD44&lt;&gt;"",N($AD44)=0),"사람이 확인한다는데 인원 0 · ","")&amp;IF(AND($X44="유지",$Y44="AI"),"그대로 두는데 AI 를 쓴다고 함 · ","")&amp;IF(AND($X44="신설",COUNT($P44,$Q44)&gt;0),"새로 생기는 일인데 현재 공수가 있음 · ","")&amp;IF(AND($X44="삭제",COUNT($AC44,$AD44)&gt;0),"없애는 일인데 개선 후 공수가 있음 · ","")&amp;IF(AND($X44&lt;&gt;"신설",N($AH44)&gt;0,N($AI44)&gt;N($AH44)),"개선 후가 지금보다 더 오래 걸림 · ",""))</f>
        <v/>
      </c>
      <c r="BC44" s="28">
        <f t="shared" si="21"/>
        <v>0</v>
      </c>
    </row>
    <row r="45" spans="2:55" ht="21" customHeight="1" x14ac:dyDescent="0.3">
      <c r="B45" s="11"/>
      <c r="C45" s="11"/>
      <c r="D45" s="11"/>
      <c r="E45" s="11"/>
      <c r="F45" s="11"/>
      <c r="G45" s="11"/>
      <c r="H45" s="11"/>
      <c r="I45" s="11"/>
      <c r="J45" s="11"/>
      <c r="K45" s="22" t="str">
        <f>IF($L45="","",$C45&amp;"-"&amp;TEXT(COUNTIFS($C$6:$C45,$C45),"00"))</f>
        <v/>
      </c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25">
        <f>IF(OR($Q45="",$Q45=0,$P45=""),0,ROUND($P45*$Q45*IFERROR(IF($R45="건별/비정기",$T45,VLOOKUP($R45,'04.코드표'!$K$5:$L$8,2,FALSE)*$S45),0)/60,1))</f>
        <v>0</v>
      </c>
      <c r="AI45" s="25">
        <f>IF(OR($AD45="",$AD45=0,$AC45=""),0,ROUND($AC45*$AD45*IFERROR(IF($R45="건별/비정기",$T45,VLOOKUP($R45,'04.코드표'!$K$5:$L$8,2,FALSE)*$S45),0)/60,1))</f>
        <v>0</v>
      </c>
      <c r="AJ45" s="25" t="str">
        <f t="shared" si="11"/>
        <v/>
      </c>
      <c r="AK45" s="26" t="str">
        <f>IF($L45="","",ROUND($AJ45/'04.코드표'!$L$11,2))</f>
        <v/>
      </c>
      <c r="AL45" s="11"/>
      <c r="AM45" s="11"/>
      <c r="AN45" s="11"/>
      <c r="AO45" s="11"/>
      <c r="AP45" s="22" t="str">
        <f t="shared" si="12"/>
        <v/>
      </c>
      <c r="AQ45" s="22" t="str">
        <f t="shared" si="13"/>
        <v/>
      </c>
      <c r="AR45" s="22" t="str">
        <f t="shared" si="14"/>
        <v/>
      </c>
      <c r="AS45" s="27" t="str">
        <f t="shared" si="15"/>
        <v/>
      </c>
      <c r="AT45" s="11"/>
      <c r="AU45" s="11"/>
      <c r="AV45" s="28" t="str">
        <f t="shared" si="16"/>
        <v/>
      </c>
      <c r="AW45" s="28" t="str">
        <f t="shared" si="17"/>
        <v/>
      </c>
      <c r="AX45" s="28" t="str">
        <f t="shared" si="18"/>
        <v/>
      </c>
      <c r="AY45" s="28" t="str">
        <f>IF($L45="","",IF(SUMPRODUCT(--ISNUMBER(SEARCH({"조회","수집","추출","검색","파악","취합","조달","접수","연계","연동","선별","확보","입수","조사","식별","검출","감지","스크랩","필터링"},$AV45)))&gt;0,"조회",IF(SUMPRODUCT(--ISNUMBER(SEARCH({"검토","검증","판정","판별","확인","승인","선정","대조","점검","분류","확정","평가","판단","심사","검수","비교","결정","구분","진단","판독","협의"},$AV45)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45)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45)))&gt;0,"작성","기타")))))</f>
        <v/>
      </c>
      <c r="AZ45" s="28" t="str">
        <f t="shared" si="19"/>
        <v/>
      </c>
      <c r="BA45" s="28">
        <f t="shared" si="20"/>
        <v>0</v>
      </c>
      <c r="BB45" s="28" t="str">
        <f>IF($L45="","",IF(AND($AX45&lt;&gt;"",ISNUMBER(SEARCH($AX45,$AW45))),"L5 이름을 그대로 씀 · ","")&amp;IF(AND($L45&lt;&gt;"",$L45=$Z45),"개선 후 설명이 똑같음 · ","")&amp;IF(COUNTIFS($C$6:$C$62,$C45,$L$6:$L$62,$L45)&gt;1,"같은 내용이 또 있음 · ","")&amp;IF(AND($U45&lt;&gt;"",$U45=$V45),"필요 자료와 산출물이 같음 · ","")&amp;IF(AND($C45=$C5,$V5&lt;&gt;"",$U45&lt;&gt;"",ISERROR(SEARCH(SUBSTITUTE($V5,CHAR(10)," "),SUBSTITUTE($U45,CHAR(10)," "))),ISERROR(SEARCH(SUBSTITUTE($U45,CHAR(10)," "),SUBSTITUTE($V5,CHAR(10)," ")))),"앞 산출물과 이어지지 않음 · ","")&amp;IF(SUMPRODUCT(--ISNUMBER(SEARCH({"관리한다","처리한다","수행한다","진행한다"},$AW45)))&gt;0,"뭉뚱그린 동사 · ","")&amp;IF(ISNUMBER(SEARCH("하고 ",$AW45)),"한 줄에 동작 2개 · ","")&amp;IF(RIGHT($L45,2)&lt;&gt;"한다","~한다 로 안 끝남 · ","")&amp;IF(AND($P45&lt;&gt;"",N($P45)&gt;60),"1건 60분 넘음 — 더 쪼개세요 · ","")&amp;IF(AND($AA45="AI",$AD45&lt;&gt;"",N($AD45)&gt;0),"AI 혼자 하는데 사람 인원 있음 · ","")&amp;IF(AND($AA45="AI+사람",$AD45&lt;&gt;"",N($AD45)=0),"사람이 확인한다는데 인원 0 · ","")&amp;IF(AND($X45="유지",$Y45="AI"),"그대로 두는데 AI 를 쓴다고 함 · ","")&amp;IF(AND($X45="신설",COUNT($P45,$Q45)&gt;0),"새로 생기는 일인데 현재 공수가 있음 · ","")&amp;IF(AND($X45="삭제",COUNT($AC45,$AD45)&gt;0),"없애는 일인데 개선 후 공수가 있음 · ","")&amp;IF(AND($X45&lt;&gt;"신설",N($AH45)&gt;0,N($AI45)&gt;N($AH45)),"개선 후가 지금보다 더 오래 걸림 · ",""))</f>
        <v/>
      </c>
      <c r="BC45" s="28">
        <f t="shared" si="21"/>
        <v>0</v>
      </c>
    </row>
    <row r="46" spans="2:55" ht="21" customHeight="1" x14ac:dyDescent="0.3">
      <c r="B46" s="11"/>
      <c r="C46" s="11"/>
      <c r="D46" s="11"/>
      <c r="E46" s="11"/>
      <c r="F46" s="11"/>
      <c r="G46" s="11"/>
      <c r="H46" s="11"/>
      <c r="I46" s="11"/>
      <c r="J46" s="11"/>
      <c r="K46" s="22" t="str">
        <f>IF($L46="","",$C46&amp;"-"&amp;TEXT(COUNTIFS($C$6:$C46,$C46),"00"))</f>
        <v/>
      </c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25">
        <f>IF(OR($Q46="",$Q46=0,$P46=""),0,ROUND($P46*$Q46*IFERROR(IF($R46="건별/비정기",$T46,VLOOKUP($R46,'04.코드표'!$K$5:$L$8,2,FALSE)*$S46),0)/60,1))</f>
        <v>0</v>
      </c>
      <c r="AI46" s="25">
        <f>IF(OR($AD46="",$AD46=0,$AC46=""),0,ROUND($AC46*$AD46*IFERROR(IF($R46="건별/비정기",$T46,VLOOKUP($R46,'04.코드표'!$K$5:$L$8,2,FALSE)*$S46),0)/60,1))</f>
        <v>0</v>
      </c>
      <c r="AJ46" s="25" t="str">
        <f t="shared" si="11"/>
        <v/>
      </c>
      <c r="AK46" s="26" t="str">
        <f>IF($L46="","",ROUND($AJ46/'04.코드표'!$L$11,2))</f>
        <v/>
      </c>
      <c r="AL46" s="11"/>
      <c r="AM46" s="11"/>
      <c r="AN46" s="11"/>
      <c r="AO46" s="11"/>
      <c r="AP46" s="22" t="str">
        <f t="shared" si="12"/>
        <v/>
      </c>
      <c r="AQ46" s="22" t="str">
        <f t="shared" si="13"/>
        <v/>
      </c>
      <c r="AR46" s="22" t="str">
        <f t="shared" si="14"/>
        <v/>
      </c>
      <c r="AS46" s="27" t="str">
        <f t="shared" si="15"/>
        <v/>
      </c>
      <c r="AT46" s="11"/>
      <c r="AU46" s="11"/>
      <c r="AV46" s="28" t="str">
        <f t="shared" si="16"/>
        <v/>
      </c>
      <c r="AW46" s="28" t="str">
        <f t="shared" si="17"/>
        <v/>
      </c>
      <c r="AX46" s="28" t="str">
        <f t="shared" si="18"/>
        <v/>
      </c>
      <c r="AY46" s="28" t="str">
        <f>IF($L46="","",IF(SUMPRODUCT(--ISNUMBER(SEARCH({"조회","수집","추출","검색","파악","취합","조달","접수","연계","연동","선별","확보","입수","조사","식별","검출","감지","스크랩","필터링"},$AV46)))&gt;0,"조회",IF(SUMPRODUCT(--ISNUMBER(SEARCH({"검토","검증","판정","판별","확인","승인","선정","대조","점검","분류","확정","평가","판단","심사","검수","비교","결정","구분","진단","판독","협의"},$AV46)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46)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46)))&gt;0,"작성","기타")))))</f>
        <v/>
      </c>
      <c r="AZ46" s="28" t="str">
        <f t="shared" si="19"/>
        <v/>
      </c>
      <c r="BA46" s="28">
        <f t="shared" si="20"/>
        <v>0</v>
      </c>
      <c r="BB46" s="28" t="str">
        <f>IF($L46="","",IF(AND($AX46&lt;&gt;"",ISNUMBER(SEARCH($AX46,$AW46))),"L5 이름을 그대로 씀 · ","")&amp;IF(AND($L46&lt;&gt;"",$L46=$Z46),"개선 후 설명이 똑같음 · ","")&amp;IF(COUNTIFS($C$6:$C$62,$C46,$L$6:$L$62,$L46)&gt;1,"같은 내용이 또 있음 · ","")&amp;IF(AND($U46&lt;&gt;"",$U46=$V46),"필요 자료와 산출물이 같음 · ","")&amp;IF(AND($C46=$C5,$V5&lt;&gt;"",$U46&lt;&gt;"",ISERROR(SEARCH(SUBSTITUTE($V5,CHAR(10)," "),SUBSTITUTE($U46,CHAR(10)," "))),ISERROR(SEARCH(SUBSTITUTE($U46,CHAR(10)," "),SUBSTITUTE($V5,CHAR(10)," ")))),"앞 산출물과 이어지지 않음 · ","")&amp;IF(SUMPRODUCT(--ISNUMBER(SEARCH({"관리한다","처리한다","수행한다","진행한다"},$AW46)))&gt;0,"뭉뚱그린 동사 · ","")&amp;IF(ISNUMBER(SEARCH("하고 ",$AW46)),"한 줄에 동작 2개 · ","")&amp;IF(RIGHT($L46,2)&lt;&gt;"한다","~한다 로 안 끝남 · ","")&amp;IF(AND($P46&lt;&gt;"",N($P46)&gt;60),"1건 60분 넘음 — 더 쪼개세요 · ","")&amp;IF(AND($AA46="AI",$AD46&lt;&gt;"",N($AD46)&gt;0),"AI 혼자 하는데 사람 인원 있음 · ","")&amp;IF(AND($AA46="AI+사람",$AD46&lt;&gt;"",N($AD46)=0),"사람이 확인한다는데 인원 0 · ","")&amp;IF(AND($X46="유지",$Y46="AI"),"그대로 두는데 AI 를 쓴다고 함 · ","")&amp;IF(AND($X46="신설",COUNT($P46,$Q46)&gt;0),"새로 생기는 일인데 현재 공수가 있음 · ","")&amp;IF(AND($X46="삭제",COUNT($AC46,$AD46)&gt;0),"없애는 일인데 개선 후 공수가 있음 · ","")&amp;IF(AND($X46&lt;&gt;"신설",N($AH46)&gt;0,N($AI46)&gt;N($AH46)),"개선 후가 지금보다 더 오래 걸림 · ",""))</f>
        <v/>
      </c>
      <c r="BC46" s="28">
        <f t="shared" si="21"/>
        <v>0</v>
      </c>
    </row>
    <row r="47" spans="2:55" ht="21" customHeight="1" x14ac:dyDescent="0.3">
      <c r="B47" s="11"/>
      <c r="C47" s="11"/>
      <c r="D47" s="11"/>
      <c r="E47" s="11"/>
      <c r="F47" s="11"/>
      <c r="G47" s="11"/>
      <c r="H47" s="11"/>
      <c r="I47" s="11"/>
      <c r="J47" s="11"/>
      <c r="K47" s="22" t="str">
        <f>IF($L47="","",$C47&amp;"-"&amp;TEXT(COUNTIFS($C$6:$C47,$C47),"00"))</f>
        <v/>
      </c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25">
        <f>IF(OR($Q47="",$Q47=0,$P47=""),0,ROUND($P47*$Q47*IFERROR(IF($R47="건별/비정기",$T47,VLOOKUP($R47,'04.코드표'!$K$5:$L$8,2,FALSE)*$S47),0)/60,1))</f>
        <v>0</v>
      </c>
      <c r="AI47" s="25">
        <f>IF(OR($AD47="",$AD47=0,$AC47=""),0,ROUND($AC47*$AD47*IFERROR(IF($R47="건별/비정기",$T47,VLOOKUP($R47,'04.코드표'!$K$5:$L$8,2,FALSE)*$S47),0)/60,1))</f>
        <v>0</v>
      </c>
      <c r="AJ47" s="25" t="str">
        <f t="shared" si="11"/>
        <v/>
      </c>
      <c r="AK47" s="26" t="str">
        <f>IF($L47="","",ROUND($AJ47/'04.코드표'!$L$11,2))</f>
        <v/>
      </c>
      <c r="AL47" s="11"/>
      <c r="AM47" s="11"/>
      <c r="AN47" s="11"/>
      <c r="AO47" s="11"/>
      <c r="AP47" s="22" t="str">
        <f t="shared" si="12"/>
        <v/>
      </c>
      <c r="AQ47" s="22" t="str">
        <f t="shared" si="13"/>
        <v/>
      </c>
      <c r="AR47" s="22" t="str">
        <f t="shared" si="14"/>
        <v/>
      </c>
      <c r="AS47" s="27" t="str">
        <f t="shared" si="15"/>
        <v/>
      </c>
      <c r="AT47" s="11"/>
      <c r="AU47" s="11"/>
      <c r="AV47" s="28" t="str">
        <f t="shared" si="16"/>
        <v/>
      </c>
      <c r="AW47" s="28" t="str">
        <f t="shared" si="17"/>
        <v/>
      </c>
      <c r="AX47" s="28" t="str">
        <f t="shared" si="18"/>
        <v/>
      </c>
      <c r="AY47" s="28" t="str">
        <f>IF($L47="","",IF(SUMPRODUCT(--ISNUMBER(SEARCH({"조회","수집","추출","검색","파악","취합","조달","접수","연계","연동","선별","확보","입수","조사","식별","검출","감지","스크랩","필터링"},$AV47)))&gt;0,"조회",IF(SUMPRODUCT(--ISNUMBER(SEARCH({"검토","검증","판정","판별","확인","승인","선정","대조","점검","분류","확정","평가","판단","심사","검수","비교","결정","구분","진단","판독","협의"},$AV47)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47)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47)))&gt;0,"작성","기타")))))</f>
        <v/>
      </c>
      <c r="AZ47" s="28" t="str">
        <f t="shared" si="19"/>
        <v/>
      </c>
      <c r="BA47" s="28">
        <f t="shared" si="20"/>
        <v>0</v>
      </c>
      <c r="BB47" s="28" t="str">
        <f>IF($L47="","",IF(AND($AX47&lt;&gt;"",ISNUMBER(SEARCH($AX47,$AW47))),"L5 이름을 그대로 씀 · ","")&amp;IF(AND($L47&lt;&gt;"",$L47=$Z47),"개선 후 설명이 똑같음 · ","")&amp;IF(COUNTIFS($C$6:$C$62,$C47,$L$6:$L$62,$L47)&gt;1,"같은 내용이 또 있음 · ","")&amp;IF(AND($U47&lt;&gt;"",$U47=$V47),"필요 자료와 산출물이 같음 · ","")&amp;IF(AND($C47=$C5,$V5&lt;&gt;"",$U47&lt;&gt;"",ISERROR(SEARCH(SUBSTITUTE($V5,CHAR(10)," "),SUBSTITUTE($U47,CHAR(10)," "))),ISERROR(SEARCH(SUBSTITUTE($U47,CHAR(10)," "),SUBSTITUTE($V5,CHAR(10)," ")))),"앞 산출물과 이어지지 않음 · ","")&amp;IF(SUMPRODUCT(--ISNUMBER(SEARCH({"관리한다","처리한다","수행한다","진행한다"},$AW47)))&gt;0,"뭉뚱그린 동사 · ","")&amp;IF(ISNUMBER(SEARCH("하고 ",$AW47)),"한 줄에 동작 2개 · ","")&amp;IF(RIGHT($L47,2)&lt;&gt;"한다","~한다 로 안 끝남 · ","")&amp;IF(AND($P47&lt;&gt;"",N($P47)&gt;60),"1건 60분 넘음 — 더 쪼개세요 · ","")&amp;IF(AND($AA47="AI",$AD47&lt;&gt;"",N($AD47)&gt;0),"AI 혼자 하는데 사람 인원 있음 · ","")&amp;IF(AND($AA47="AI+사람",$AD47&lt;&gt;"",N($AD47)=0),"사람이 확인한다는데 인원 0 · ","")&amp;IF(AND($X47="유지",$Y47="AI"),"그대로 두는데 AI 를 쓴다고 함 · ","")&amp;IF(AND($X47="신설",COUNT($P47,$Q47)&gt;0),"새로 생기는 일인데 현재 공수가 있음 · ","")&amp;IF(AND($X47="삭제",COUNT($AC47,$AD47)&gt;0),"없애는 일인데 개선 후 공수가 있음 · ","")&amp;IF(AND($X47&lt;&gt;"신설",N($AH47)&gt;0,N($AI47)&gt;N($AH47)),"개선 후가 지금보다 더 오래 걸림 · ",""))</f>
        <v/>
      </c>
      <c r="BC47" s="28">
        <f t="shared" si="21"/>
        <v>0</v>
      </c>
    </row>
    <row r="48" spans="2:55" ht="21" customHeight="1" x14ac:dyDescent="0.3">
      <c r="B48" s="11"/>
      <c r="C48" s="11"/>
      <c r="D48" s="11"/>
      <c r="E48" s="11"/>
      <c r="F48" s="11"/>
      <c r="G48" s="11"/>
      <c r="H48" s="11"/>
      <c r="I48" s="11"/>
      <c r="J48" s="11"/>
      <c r="K48" s="22" t="str">
        <f>IF($L48="","",$C48&amp;"-"&amp;TEXT(COUNTIFS($C$6:$C48,$C48),"00"))</f>
        <v/>
      </c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25">
        <f>IF(OR($Q48="",$Q48=0,$P48=""),0,ROUND($P48*$Q48*IFERROR(IF($R48="건별/비정기",$T48,VLOOKUP($R48,'04.코드표'!$K$5:$L$8,2,FALSE)*$S48),0)/60,1))</f>
        <v>0</v>
      </c>
      <c r="AI48" s="25">
        <f>IF(OR($AD48="",$AD48=0,$AC48=""),0,ROUND($AC48*$AD48*IFERROR(IF($R48="건별/비정기",$T48,VLOOKUP($R48,'04.코드표'!$K$5:$L$8,2,FALSE)*$S48),0)/60,1))</f>
        <v>0</v>
      </c>
      <c r="AJ48" s="25" t="str">
        <f t="shared" si="11"/>
        <v/>
      </c>
      <c r="AK48" s="26" t="str">
        <f>IF($L48="","",ROUND($AJ48/'04.코드표'!$L$11,2))</f>
        <v/>
      </c>
      <c r="AL48" s="11"/>
      <c r="AM48" s="11"/>
      <c r="AN48" s="11"/>
      <c r="AO48" s="11"/>
      <c r="AP48" s="22" t="str">
        <f t="shared" si="12"/>
        <v/>
      </c>
      <c r="AQ48" s="22" t="str">
        <f t="shared" si="13"/>
        <v/>
      </c>
      <c r="AR48" s="22" t="str">
        <f t="shared" si="14"/>
        <v/>
      </c>
      <c r="AS48" s="27" t="str">
        <f t="shared" si="15"/>
        <v/>
      </c>
      <c r="AT48" s="11"/>
      <c r="AU48" s="11"/>
      <c r="AV48" s="28" t="str">
        <f t="shared" si="16"/>
        <v/>
      </c>
      <c r="AW48" s="28" t="str">
        <f t="shared" si="17"/>
        <v/>
      </c>
      <c r="AX48" s="28" t="str">
        <f t="shared" si="18"/>
        <v/>
      </c>
      <c r="AY48" s="28" t="str">
        <f>IF($L48="","",IF(SUMPRODUCT(--ISNUMBER(SEARCH({"조회","수집","추출","검색","파악","취합","조달","접수","연계","연동","선별","확보","입수","조사","식별","검출","감지","스크랩","필터링"},$AV48)))&gt;0,"조회",IF(SUMPRODUCT(--ISNUMBER(SEARCH({"검토","검증","판정","판별","확인","승인","선정","대조","점검","분류","확정","평가","판단","심사","검수","비교","결정","구분","진단","판독","협의"},$AV48)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48)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48)))&gt;0,"작성","기타")))))</f>
        <v/>
      </c>
      <c r="AZ48" s="28" t="str">
        <f t="shared" si="19"/>
        <v/>
      </c>
      <c r="BA48" s="28">
        <f t="shared" si="20"/>
        <v>0</v>
      </c>
      <c r="BB48" s="28" t="str">
        <f>IF($L48="","",IF(AND($AX48&lt;&gt;"",ISNUMBER(SEARCH($AX48,$AW48))),"L5 이름을 그대로 씀 · ","")&amp;IF(AND($L48&lt;&gt;"",$L48=$Z48),"개선 후 설명이 똑같음 · ","")&amp;IF(COUNTIFS($C$6:$C$62,$C48,$L$6:$L$62,$L48)&gt;1,"같은 내용이 또 있음 · ","")&amp;IF(AND($U48&lt;&gt;"",$U48=$V48),"필요 자료와 산출물이 같음 · ","")&amp;IF(AND($C48=$C5,$V5&lt;&gt;"",$U48&lt;&gt;"",ISERROR(SEARCH(SUBSTITUTE($V5,CHAR(10)," "),SUBSTITUTE($U48,CHAR(10)," "))),ISERROR(SEARCH(SUBSTITUTE($U48,CHAR(10)," "),SUBSTITUTE($V5,CHAR(10)," ")))),"앞 산출물과 이어지지 않음 · ","")&amp;IF(SUMPRODUCT(--ISNUMBER(SEARCH({"관리한다","처리한다","수행한다","진행한다"},$AW48)))&gt;0,"뭉뚱그린 동사 · ","")&amp;IF(ISNUMBER(SEARCH("하고 ",$AW48)),"한 줄에 동작 2개 · ","")&amp;IF(RIGHT($L48,2)&lt;&gt;"한다","~한다 로 안 끝남 · ","")&amp;IF(AND($P48&lt;&gt;"",N($P48)&gt;60),"1건 60분 넘음 — 더 쪼개세요 · ","")&amp;IF(AND($AA48="AI",$AD48&lt;&gt;"",N($AD48)&gt;0),"AI 혼자 하는데 사람 인원 있음 · ","")&amp;IF(AND($AA48="AI+사람",$AD48&lt;&gt;"",N($AD48)=0),"사람이 확인한다는데 인원 0 · ","")&amp;IF(AND($X48="유지",$Y48="AI"),"그대로 두는데 AI 를 쓴다고 함 · ","")&amp;IF(AND($X48="신설",COUNT($P48,$Q48)&gt;0),"새로 생기는 일인데 현재 공수가 있음 · ","")&amp;IF(AND($X48="삭제",COUNT($AC48,$AD48)&gt;0),"없애는 일인데 개선 후 공수가 있음 · ","")&amp;IF(AND($X48&lt;&gt;"신설",N($AH48)&gt;0,N($AI48)&gt;N($AH48)),"개선 후가 지금보다 더 오래 걸림 · ",""))</f>
        <v/>
      </c>
      <c r="BC48" s="28">
        <f t="shared" si="21"/>
        <v>0</v>
      </c>
    </row>
    <row r="49" spans="2:55" ht="21" customHeight="1" x14ac:dyDescent="0.3">
      <c r="B49" s="11"/>
      <c r="C49" s="11"/>
      <c r="D49" s="11"/>
      <c r="E49" s="11"/>
      <c r="F49" s="11"/>
      <c r="G49" s="11"/>
      <c r="H49" s="11"/>
      <c r="I49" s="11"/>
      <c r="J49" s="11"/>
      <c r="K49" s="22" t="str">
        <f>IF($L49="","",$C49&amp;"-"&amp;TEXT(COUNTIFS($C$6:$C49,$C49),"00"))</f>
        <v/>
      </c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25">
        <f>IF(OR($Q49="",$Q49=0,$P49=""),0,ROUND($P49*$Q49*IFERROR(IF($R49="건별/비정기",$T49,VLOOKUP($R49,'04.코드표'!$K$5:$L$8,2,FALSE)*$S49),0)/60,1))</f>
        <v>0</v>
      </c>
      <c r="AI49" s="25">
        <f>IF(OR($AD49="",$AD49=0,$AC49=""),0,ROUND($AC49*$AD49*IFERROR(IF($R49="건별/비정기",$T49,VLOOKUP($R49,'04.코드표'!$K$5:$L$8,2,FALSE)*$S49),0)/60,1))</f>
        <v>0</v>
      </c>
      <c r="AJ49" s="25" t="str">
        <f t="shared" si="11"/>
        <v/>
      </c>
      <c r="AK49" s="26" t="str">
        <f>IF($L49="","",ROUND($AJ49/'04.코드표'!$L$11,2))</f>
        <v/>
      </c>
      <c r="AL49" s="11"/>
      <c r="AM49" s="11"/>
      <c r="AN49" s="11"/>
      <c r="AO49" s="11"/>
      <c r="AP49" s="22" t="str">
        <f t="shared" si="12"/>
        <v/>
      </c>
      <c r="AQ49" s="22" t="str">
        <f t="shared" si="13"/>
        <v/>
      </c>
      <c r="AR49" s="22" t="str">
        <f t="shared" si="14"/>
        <v/>
      </c>
      <c r="AS49" s="27" t="str">
        <f t="shared" si="15"/>
        <v/>
      </c>
      <c r="AT49" s="11"/>
      <c r="AU49" s="11"/>
      <c r="AV49" s="28" t="str">
        <f t="shared" si="16"/>
        <v/>
      </c>
      <c r="AW49" s="28" t="str">
        <f t="shared" si="17"/>
        <v/>
      </c>
      <c r="AX49" s="28" t="str">
        <f t="shared" si="18"/>
        <v/>
      </c>
      <c r="AY49" s="28" t="str">
        <f>IF($L49="","",IF(SUMPRODUCT(--ISNUMBER(SEARCH({"조회","수집","추출","검색","파악","취합","조달","접수","연계","연동","선별","확보","입수","조사","식별","검출","감지","스크랩","필터링"},$AV49)))&gt;0,"조회",IF(SUMPRODUCT(--ISNUMBER(SEARCH({"검토","검증","판정","판별","확인","승인","선정","대조","점검","분류","확정","평가","판단","심사","검수","비교","결정","구분","진단","판독","협의"},$AV49)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49)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49)))&gt;0,"작성","기타")))))</f>
        <v/>
      </c>
      <c r="AZ49" s="28" t="str">
        <f t="shared" si="19"/>
        <v/>
      </c>
      <c r="BA49" s="28">
        <f t="shared" si="20"/>
        <v>0</v>
      </c>
      <c r="BB49" s="28" t="str">
        <f>IF($L49="","",IF(AND($AX49&lt;&gt;"",ISNUMBER(SEARCH($AX49,$AW49))),"L5 이름을 그대로 씀 · ","")&amp;IF(AND($L49&lt;&gt;"",$L49=$Z49),"개선 후 설명이 똑같음 · ","")&amp;IF(COUNTIFS($C$6:$C$62,$C49,$L$6:$L$62,$L49)&gt;1,"같은 내용이 또 있음 · ","")&amp;IF(AND($U49&lt;&gt;"",$U49=$V49),"필요 자료와 산출물이 같음 · ","")&amp;IF(AND($C49=$C5,$V5&lt;&gt;"",$U49&lt;&gt;"",ISERROR(SEARCH(SUBSTITUTE($V5,CHAR(10)," "),SUBSTITUTE($U49,CHAR(10)," "))),ISERROR(SEARCH(SUBSTITUTE($U49,CHAR(10)," "),SUBSTITUTE($V5,CHAR(10)," ")))),"앞 산출물과 이어지지 않음 · ","")&amp;IF(SUMPRODUCT(--ISNUMBER(SEARCH({"관리한다","처리한다","수행한다","진행한다"},$AW49)))&gt;0,"뭉뚱그린 동사 · ","")&amp;IF(ISNUMBER(SEARCH("하고 ",$AW49)),"한 줄에 동작 2개 · ","")&amp;IF(RIGHT($L49,2)&lt;&gt;"한다","~한다 로 안 끝남 · ","")&amp;IF(AND($P49&lt;&gt;"",N($P49)&gt;60),"1건 60분 넘음 — 더 쪼개세요 · ","")&amp;IF(AND($AA49="AI",$AD49&lt;&gt;"",N($AD49)&gt;0),"AI 혼자 하는데 사람 인원 있음 · ","")&amp;IF(AND($AA49="AI+사람",$AD49&lt;&gt;"",N($AD49)=0),"사람이 확인한다는데 인원 0 · ","")&amp;IF(AND($X49="유지",$Y49="AI"),"그대로 두는데 AI 를 쓴다고 함 · ","")&amp;IF(AND($X49="신설",COUNT($P49,$Q49)&gt;0),"새로 생기는 일인데 현재 공수가 있음 · ","")&amp;IF(AND($X49="삭제",COUNT($AC49,$AD49)&gt;0),"없애는 일인데 개선 후 공수가 있음 · ","")&amp;IF(AND($X49&lt;&gt;"신설",N($AH49)&gt;0,N($AI49)&gt;N($AH49)),"개선 후가 지금보다 더 오래 걸림 · ",""))</f>
        <v/>
      </c>
      <c r="BC49" s="28">
        <f t="shared" si="21"/>
        <v>0</v>
      </c>
    </row>
    <row r="50" spans="2:55" ht="21" customHeight="1" x14ac:dyDescent="0.3">
      <c r="B50" s="11"/>
      <c r="C50" s="11"/>
      <c r="D50" s="11"/>
      <c r="E50" s="11"/>
      <c r="F50" s="11"/>
      <c r="G50" s="11"/>
      <c r="H50" s="11"/>
      <c r="I50" s="11"/>
      <c r="J50" s="11"/>
      <c r="K50" s="22" t="str">
        <f>IF($L50="","",$C50&amp;"-"&amp;TEXT(COUNTIFS($C$6:$C50,$C50),"00"))</f>
        <v/>
      </c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25">
        <f>IF(OR($Q50="",$Q50=0,$P50=""),0,ROUND($P50*$Q50*IFERROR(IF($R50="건별/비정기",$T50,VLOOKUP($R50,'04.코드표'!$K$5:$L$8,2,FALSE)*$S50),0)/60,1))</f>
        <v>0</v>
      </c>
      <c r="AI50" s="25">
        <f>IF(OR($AD50="",$AD50=0,$AC50=""),0,ROUND($AC50*$AD50*IFERROR(IF($R50="건별/비정기",$T50,VLOOKUP($R50,'04.코드표'!$K$5:$L$8,2,FALSE)*$S50),0)/60,1))</f>
        <v>0</v>
      </c>
      <c r="AJ50" s="25" t="str">
        <f t="shared" si="11"/>
        <v/>
      </c>
      <c r="AK50" s="26" t="str">
        <f>IF($L50="","",ROUND($AJ50/'04.코드표'!$L$11,2))</f>
        <v/>
      </c>
      <c r="AL50" s="11"/>
      <c r="AM50" s="11"/>
      <c r="AN50" s="11"/>
      <c r="AO50" s="11"/>
      <c r="AP50" s="22" t="str">
        <f t="shared" si="12"/>
        <v/>
      </c>
      <c r="AQ50" s="22" t="str">
        <f t="shared" si="13"/>
        <v/>
      </c>
      <c r="AR50" s="22" t="str">
        <f t="shared" si="14"/>
        <v/>
      </c>
      <c r="AS50" s="27" t="str">
        <f t="shared" si="15"/>
        <v/>
      </c>
      <c r="AT50" s="11"/>
      <c r="AU50" s="11"/>
      <c r="AV50" s="28" t="str">
        <f t="shared" si="16"/>
        <v/>
      </c>
      <c r="AW50" s="28" t="str">
        <f t="shared" si="17"/>
        <v/>
      </c>
      <c r="AX50" s="28" t="str">
        <f t="shared" si="18"/>
        <v/>
      </c>
      <c r="AY50" s="28" t="str">
        <f>IF($L50="","",IF(SUMPRODUCT(--ISNUMBER(SEARCH({"조회","수집","추출","검색","파악","취합","조달","접수","연계","연동","선별","확보","입수","조사","식별","검출","감지","스크랩","필터링"},$AV50)))&gt;0,"조회",IF(SUMPRODUCT(--ISNUMBER(SEARCH({"검토","검증","판정","판별","확인","승인","선정","대조","점검","분류","확정","평가","판단","심사","검수","비교","결정","구분","진단","판독","협의"},$AV50)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50)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50)))&gt;0,"작성","기타")))))</f>
        <v/>
      </c>
      <c r="AZ50" s="28" t="str">
        <f t="shared" si="19"/>
        <v/>
      </c>
      <c r="BA50" s="28">
        <f t="shared" si="20"/>
        <v>0</v>
      </c>
      <c r="BB50" s="28" t="str">
        <f>IF($L50="","",IF(AND($AX50&lt;&gt;"",ISNUMBER(SEARCH($AX50,$AW50))),"L5 이름을 그대로 씀 · ","")&amp;IF(AND($L50&lt;&gt;"",$L50=$Z50),"개선 후 설명이 똑같음 · ","")&amp;IF(COUNTIFS($C$6:$C$62,$C50,$L$6:$L$62,$L50)&gt;1,"같은 내용이 또 있음 · ","")&amp;IF(AND($U50&lt;&gt;"",$U50=$V50),"필요 자료와 산출물이 같음 · ","")&amp;IF(AND($C50=$C5,$V5&lt;&gt;"",$U50&lt;&gt;"",ISERROR(SEARCH(SUBSTITUTE($V5,CHAR(10)," "),SUBSTITUTE($U50,CHAR(10)," "))),ISERROR(SEARCH(SUBSTITUTE($U50,CHAR(10)," "),SUBSTITUTE($V5,CHAR(10)," ")))),"앞 산출물과 이어지지 않음 · ","")&amp;IF(SUMPRODUCT(--ISNUMBER(SEARCH({"관리한다","처리한다","수행한다","진행한다"},$AW50)))&gt;0,"뭉뚱그린 동사 · ","")&amp;IF(ISNUMBER(SEARCH("하고 ",$AW50)),"한 줄에 동작 2개 · ","")&amp;IF(RIGHT($L50,2)&lt;&gt;"한다","~한다 로 안 끝남 · ","")&amp;IF(AND($P50&lt;&gt;"",N($P50)&gt;60),"1건 60분 넘음 — 더 쪼개세요 · ","")&amp;IF(AND($AA50="AI",$AD50&lt;&gt;"",N($AD50)&gt;0),"AI 혼자 하는데 사람 인원 있음 · ","")&amp;IF(AND($AA50="AI+사람",$AD50&lt;&gt;"",N($AD50)=0),"사람이 확인한다는데 인원 0 · ","")&amp;IF(AND($X50="유지",$Y50="AI"),"그대로 두는데 AI 를 쓴다고 함 · ","")&amp;IF(AND($X50="신설",COUNT($P50,$Q50)&gt;0),"새로 생기는 일인데 현재 공수가 있음 · ","")&amp;IF(AND($X50="삭제",COUNT($AC50,$AD50)&gt;0),"없애는 일인데 개선 후 공수가 있음 · ","")&amp;IF(AND($X50&lt;&gt;"신설",N($AH50)&gt;0,N($AI50)&gt;N($AH50)),"개선 후가 지금보다 더 오래 걸림 · ",""))</f>
        <v/>
      </c>
      <c r="BC50" s="28">
        <f t="shared" si="21"/>
        <v>0</v>
      </c>
    </row>
    <row r="51" spans="2:55" ht="21" customHeight="1" x14ac:dyDescent="0.3">
      <c r="B51" s="11"/>
      <c r="C51" s="11"/>
      <c r="D51" s="11"/>
      <c r="E51" s="11"/>
      <c r="F51" s="11"/>
      <c r="G51" s="11"/>
      <c r="H51" s="11"/>
      <c r="I51" s="11"/>
      <c r="J51" s="11"/>
      <c r="K51" s="22" t="str">
        <f>IF($L51="","",$C51&amp;"-"&amp;TEXT(COUNTIFS($C$6:$C51,$C51),"00"))</f>
        <v/>
      </c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25">
        <f>IF(OR($Q51="",$Q51=0,$P51=""),0,ROUND($P51*$Q51*IFERROR(IF($R51="건별/비정기",$T51,VLOOKUP($R51,'04.코드표'!$K$5:$L$8,2,FALSE)*$S51),0)/60,1))</f>
        <v>0</v>
      </c>
      <c r="AI51" s="25">
        <f>IF(OR($AD51="",$AD51=0,$AC51=""),0,ROUND($AC51*$AD51*IFERROR(IF($R51="건별/비정기",$T51,VLOOKUP($R51,'04.코드표'!$K$5:$L$8,2,FALSE)*$S51),0)/60,1))</f>
        <v>0</v>
      </c>
      <c r="AJ51" s="25" t="str">
        <f t="shared" si="11"/>
        <v/>
      </c>
      <c r="AK51" s="26" t="str">
        <f>IF($L51="","",ROUND($AJ51/'04.코드표'!$L$11,2))</f>
        <v/>
      </c>
      <c r="AL51" s="11"/>
      <c r="AM51" s="11"/>
      <c r="AN51" s="11"/>
      <c r="AO51" s="11"/>
      <c r="AP51" s="22" t="str">
        <f t="shared" si="12"/>
        <v/>
      </c>
      <c r="AQ51" s="22" t="str">
        <f t="shared" si="13"/>
        <v/>
      </c>
      <c r="AR51" s="22" t="str">
        <f t="shared" si="14"/>
        <v/>
      </c>
      <c r="AS51" s="27" t="str">
        <f t="shared" si="15"/>
        <v/>
      </c>
      <c r="AT51" s="11"/>
      <c r="AU51" s="11"/>
      <c r="AV51" s="28" t="str">
        <f t="shared" si="16"/>
        <v/>
      </c>
      <c r="AW51" s="28" t="str">
        <f t="shared" si="17"/>
        <v/>
      </c>
      <c r="AX51" s="28" t="str">
        <f t="shared" si="18"/>
        <v/>
      </c>
      <c r="AY51" s="28" t="str">
        <f>IF($L51="","",IF(SUMPRODUCT(--ISNUMBER(SEARCH({"조회","수집","추출","검색","파악","취합","조달","접수","연계","연동","선별","확보","입수","조사","식별","검출","감지","스크랩","필터링"},$AV51)))&gt;0,"조회",IF(SUMPRODUCT(--ISNUMBER(SEARCH({"검토","검증","판정","판별","확인","승인","선정","대조","점검","분류","확정","평가","판단","심사","검수","비교","결정","구분","진단","판독","협의"},$AV51)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51)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51)))&gt;0,"작성","기타")))))</f>
        <v/>
      </c>
      <c r="AZ51" s="28" t="str">
        <f t="shared" si="19"/>
        <v/>
      </c>
      <c r="BA51" s="28">
        <f t="shared" si="20"/>
        <v>0</v>
      </c>
      <c r="BB51" s="28" t="str">
        <f>IF($L51="","",IF(AND($AX51&lt;&gt;"",ISNUMBER(SEARCH($AX51,$AW51))),"L5 이름을 그대로 씀 · ","")&amp;IF(AND($L51&lt;&gt;"",$L51=$Z51),"개선 후 설명이 똑같음 · ","")&amp;IF(COUNTIFS($C$6:$C$62,$C51,$L$6:$L$62,$L51)&gt;1,"같은 내용이 또 있음 · ","")&amp;IF(AND($U51&lt;&gt;"",$U51=$V51),"필요 자료와 산출물이 같음 · ","")&amp;IF(AND($C51=$C5,$V5&lt;&gt;"",$U51&lt;&gt;"",ISERROR(SEARCH(SUBSTITUTE($V5,CHAR(10)," "),SUBSTITUTE($U51,CHAR(10)," "))),ISERROR(SEARCH(SUBSTITUTE($U51,CHAR(10)," "),SUBSTITUTE($V5,CHAR(10)," ")))),"앞 산출물과 이어지지 않음 · ","")&amp;IF(SUMPRODUCT(--ISNUMBER(SEARCH({"관리한다","처리한다","수행한다","진행한다"},$AW51)))&gt;0,"뭉뚱그린 동사 · ","")&amp;IF(ISNUMBER(SEARCH("하고 ",$AW51)),"한 줄에 동작 2개 · ","")&amp;IF(RIGHT($L51,2)&lt;&gt;"한다","~한다 로 안 끝남 · ","")&amp;IF(AND($P51&lt;&gt;"",N($P51)&gt;60),"1건 60분 넘음 — 더 쪼개세요 · ","")&amp;IF(AND($AA51="AI",$AD51&lt;&gt;"",N($AD51)&gt;0),"AI 혼자 하는데 사람 인원 있음 · ","")&amp;IF(AND($AA51="AI+사람",$AD51&lt;&gt;"",N($AD51)=0),"사람이 확인한다는데 인원 0 · ","")&amp;IF(AND($X51="유지",$Y51="AI"),"그대로 두는데 AI 를 쓴다고 함 · ","")&amp;IF(AND($X51="신설",COUNT($P51,$Q51)&gt;0),"새로 생기는 일인데 현재 공수가 있음 · ","")&amp;IF(AND($X51="삭제",COUNT($AC51,$AD51)&gt;0),"없애는 일인데 개선 후 공수가 있음 · ","")&amp;IF(AND($X51&lt;&gt;"신설",N($AH51)&gt;0,N($AI51)&gt;N($AH51)),"개선 후가 지금보다 더 오래 걸림 · ",""))</f>
        <v/>
      </c>
      <c r="BC51" s="28">
        <f t="shared" si="21"/>
        <v>0</v>
      </c>
    </row>
    <row r="52" spans="2:55" ht="21" customHeight="1" x14ac:dyDescent="0.3">
      <c r="B52" s="11"/>
      <c r="C52" s="11"/>
      <c r="D52" s="11"/>
      <c r="E52" s="11"/>
      <c r="F52" s="11"/>
      <c r="G52" s="11"/>
      <c r="H52" s="11"/>
      <c r="I52" s="11"/>
      <c r="J52" s="11"/>
      <c r="K52" s="22" t="str">
        <f>IF($L52="","",$C52&amp;"-"&amp;TEXT(COUNTIFS($C$6:$C52,$C52),"00"))</f>
        <v/>
      </c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25">
        <f>IF(OR($Q52="",$Q52=0,$P52=""),0,ROUND($P52*$Q52*IFERROR(IF($R52="건별/비정기",$T52,VLOOKUP($R52,'04.코드표'!$K$5:$L$8,2,FALSE)*$S52),0)/60,1))</f>
        <v>0</v>
      </c>
      <c r="AI52" s="25">
        <f>IF(OR($AD52="",$AD52=0,$AC52=""),0,ROUND($AC52*$AD52*IFERROR(IF($R52="건별/비정기",$T52,VLOOKUP($R52,'04.코드표'!$K$5:$L$8,2,FALSE)*$S52),0)/60,1))</f>
        <v>0</v>
      </c>
      <c r="AJ52" s="25" t="str">
        <f t="shared" si="11"/>
        <v/>
      </c>
      <c r="AK52" s="26" t="str">
        <f>IF($L52="","",ROUND($AJ52/'04.코드표'!$L$11,2))</f>
        <v/>
      </c>
      <c r="AL52" s="11"/>
      <c r="AM52" s="11"/>
      <c r="AN52" s="11"/>
      <c r="AO52" s="11"/>
      <c r="AP52" s="22" t="str">
        <f t="shared" si="12"/>
        <v/>
      </c>
      <c r="AQ52" s="22" t="str">
        <f t="shared" si="13"/>
        <v/>
      </c>
      <c r="AR52" s="22" t="str">
        <f t="shared" si="14"/>
        <v/>
      </c>
      <c r="AS52" s="27" t="str">
        <f t="shared" si="15"/>
        <v/>
      </c>
      <c r="AT52" s="11"/>
      <c r="AU52" s="11"/>
      <c r="AV52" s="28" t="str">
        <f t="shared" si="16"/>
        <v/>
      </c>
      <c r="AW52" s="28" t="str">
        <f t="shared" si="17"/>
        <v/>
      </c>
      <c r="AX52" s="28" t="str">
        <f t="shared" si="18"/>
        <v/>
      </c>
      <c r="AY52" s="28" t="str">
        <f>IF($L52="","",IF(SUMPRODUCT(--ISNUMBER(SEARCH({"조회","수집","추출","검색","파악","취합","조달","접수","연계","연동","선별","확보","입수","조사","식별","검출","감지","스크랩","필터링"},$AV52)))&gt;0,"조회",IF(SUMPRODUCT(--ISNUMBER(SEARCH({"검토","검증","판정","판별","확인","승인","선정","대조","점검","분류","확정","평가","판단","심사","검수","비교","결정","구분","진단","판독","협의"},$AV52)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52)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52)))&gt;0,"작성","기타")))))</f>
        <v/>
      </c>
      <c r="AZ52" s="28" t="str">
        <f t="shared" si="19"/>
        <v/>
      </c>
      <c r="BA52" s="28">
        <f t="shared" si="20"/>
        <v>0</v>
      </c>
      <c r="BB52" s="28" t="str">
        <f>IF($L52="","",IF(AND($AX52&lt;&gt;"",ISNUMBER(SEARCH($AX52,$AW52))),"L5 이름을 그대로 씀 · ","")&amp;IF(AND($L52&lt;&gt;"",$L52=$Z52),"개선 후 설명이 똑같음 · ","")&amp;IF(COUNTIFS($C$6:$C$62,$C52,$L$6:$L$62,$L52)&gt;1,"같은 내용이 또 있음 · ","")&amp;IF(AND($U52&lt;&gt;"",$U52=$V52),"필요 자료와 산출물이 같음 · ","")&amp;IF(AND($C52=$C5,$V5&lt;&gt;"",$U52&lt;&gt;"",ISERROR(SEARCH(SUBSTITUTE($V5,CHAR(10)," "),SUBSTITUTE($U52,CHAR(10)," "))),ISERROR(SEARCH(SUBSTITUTE($U52,CHAR(10)," "),SUBSTITUTE($V5,CHAR(10)," ")))),"앞 산출물과 이어지지 않음 · ","")&amp;IF(SUMPRODUCT(--ISNUMBER(SEARCH({"관리한다","처리한다","수행한다","진행한다"},$AW52)))&gt;0,"뭉뚱그린 동사 · ","")&amp;IF(ISNUMBER(SEARCH("하고 ",$AW52)),"한 줄에 동작 2개 · ","")&amp;IF(RIGHT($L52,2)&lt;&gt;"한다","~한다 로 안 끝남 · ","")&amp;IF(AND($P52&lt;&gt;"",N($P52)&gt;60),"1건 60분 넘음 — 더 쪼개세요 · ","")&amp;IF(AND($AA52="AI",$AD52&lt;&gt;"",N($AD52)&gt;0),"AI 혼자 하는데 사람 인원 있음 · ","")&amp;IF(AND($AA52="AI+사람",$AD52&lt;&gt;"",N($AD52)=0),"사람이 확인한다는데 인원 0 · ","")&amp;IF(AND($X52="유지",$Y52="AI"),"그대로 두는데 AI 를 쓴다고 함 · ","")&amp;IF(AND($X52="신설",COUNT($P52,$Q52)&gt;0),"새로 생기는 일인데 현재 공수가 있음 · ","")&amp;IF(AND($X52="삭제",COUNT($AC52,$AD52)&gt;0),"없애는 일인데 개선 후 공수가 있음 · ","")&amp;IF(AND($X52&lt;&gt;"신설",N($AH52)&gt;0,N($AI52)&gt;N($AH52)),"개선 후가 지금보다 더 오래 걸림 · ",""))</f>
        <v/>
      </c>
      <c r="BC52" s="28">
        <f t="shared" si="21"/>
        <v>0</v>
      </c>
    </row>
    <row r="53" spans="2:55" ht="21" customHeight="1" x14ac:dyDescent="0.3">
      <c r="B53" s="11"/>
      <c r="C53" s="11"/>
      <c r="D53" s="11"/>
      <c r="E53" s="11"/>
      <c r="F53" s="11"/>
      <c r="G53" s="11"/>
      <c r="H53" s="11"/>
      <c r="I53" s="11"/>
      <c r="J53" s="11"/>
      <c r="K53" s="22" t="str">
        <f>IF($L53="","",$C53&amp;"-"&amp;TEXT(COUNTIFS($C$6:$C53,$C53),"00"))</f>
        <v/>
      </c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25">
        <f>IF(OR($Q53="",$Q53=0,$P53=""),0,ROUND($P53*$Q53*IFERROR(IF($R53="건별/비정기",$T53,VLOOKUP($R53,'04.코드표'!$K$5:$L$8,2,FALSE)*$S53),0)/60,1))</f>
        <v>0</v>
      </c>
      <c r="AI53" s="25">
        <f>IF(OR($AD53="",$AD53=0,$AC53=""),0,ROUND($AC53*$AD53*IFERROR(IF($R53="건별/비정기",$T53,VLOOKUP($R53,'04.코드표'!$K$5:$L$8,2,FALSE)*$S53),0)/60,1))</f>
        <v>0</v>
      </c>
      <c r="AJ53" s="25" t="str">
        <f t="shared" si="11"/>
        <v/>
      </c>
      <c r="AK53" s="26" t="str">
        <f>IF($L53="","",ROUND($AJ53/'04.코드표'!$L$11,2))</f>
        <v/>
      </c>
      <c r="AL53" s="11"/>
      <c r="AM53" s="11"/>
      <c r="AN53" s="11"/>
      <c r="AO53" s="11"/>
      <c r="AP53" s="22" t="str">
        <f t="shared" si="12"/>
        <v/>
      </c>
      <c r="AQ53" s="22" t="str">
        <f t="shared" si="13"/>
        <v/>
      </c>
      <c r="AR53" s="22" t="str">
        <f t="shared" si="14"/>
        <v/>
      </c>
      <c r="AS53" s="27" t="str">
        <f t="shared" si="15"/>
        <v/>
      </c>
      <c r="AT53" s="11"/>
      <c r="AU53" s="11"/>
      <c r="AV53" s="28" t="str">
        <f t="shared" si="16"/>
        <v/>
      </c>
      <c r="AW53" s="28" t="str">
        <f t="shared" si="17"/>
        <v/>
      </c>
      <c r="AX53" s="28" t="str">
        <f t="shared" si="18"/>
        <v/>
      </c>
      <c r="AY53" s="28" t="str">
        <f>IF($L53="","",IF(SUMPRODUCT(--ISNUMBER(SEARCH({"조회","수집","추출","검색","파악","취합","조달","접수","연계","연동","선별","확보","입수","조사","식별","검출","감지","스크랩","필터링"},$AV53)))&gt;0,"조회",IF(SUMPRODUCT(--ISNUMBER(SEARCH({"검토","검증","판정","판별","확인","승인","선정","대조","점검","분류","확정","평가","판단","심사","검수","비교","결정","구분","진단","판독","협의"},$AV53)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53)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53)))&gt;0,"작성","기타")))))</f>
        <v/>
      </c>
      <c r="AZ53" s="28" t="str">
        <f t="shared" si="19"/>
        <v/>
      </c>
      <c r="BA53" s="28">
        <f t="shared" si="20"/>
        <v>0</v>
      </c>
      <c r="BB53" s="28" t="str">
        <f>IF($L53="","",IF(AND($AX53&lt;&gt;"",ISNUMBER(SEARCH($AX53,$AW53))),"L5 이름을 그대로 씀 · ","")&amp;IF(AND($L53&lt;&gt;"",$L53=$Z53),"개선 후 설명이 똑같음 · ","")&amp;IF(COUNTIFS($C$6:$C$62,$C53,$L$6:$L$62,$L53)&gt;1,"같은 내용이 또 있음 · ","")&amp;IF(AND($U53&lt;&gt;"",$U53=$V53),"필요 자료와 산출물이 같음 · ","")&amp;IF(AND($C53=$C5,$V5&lt;&gt;"",$U53&lt;&gt;"",ISERROR(SEARCH(SUBSTITUTE($V5,CHAR(10)," "),SUBSTITUTE($U53,CHAR(10)," "))),ISERROR(SEARCH(SUBSTITUTE($U53,CHAR(10)," "),SUBSTITUTE($V5,CHAR(10)," ")))),"앞 산출물과 이어지지 않음 · ","")&amp;IF(SUMPRODUCT(--ISNUMBER(SEARCH({"관리한다","처리한다","수행한다","진행한다"},$AW53)))&gt;0,"뭉뚱그린 동사 · ","")&amp;IF(ISNUMBER(SEARCH("하고 ",$AW53)),"한 줄에 동작 2개 · ","")&amp;IF(RIGHT($L53,2)&lt;&gt;"한다","~한다 로 안 끝남 · ","")&amp;IF(AND($P53&lt;&gt;"",N($P53)&gt;60),"1건 60분 넘음 — 더 쪼개세요 · ","")&amp;IF(AND($AA53="AI",$AD53&lt;&gt;"",N($AD53)&gt;0),"AI 혼자 하는데 사람 인원 있음 · ","")&amp;IF(AND($AA53="AI+사람",$AD53&lt;&gt;"",N($AD53)=0),"사람이 확인한다는데 인원 0 · ","")&amp;IF(AND($X53="유지",$Y53="AI"),"그대로 두는데 AI 를 쓴다고 함 · ","")&amp;IF(AND($X53="신설",COUNT($P53,$Q53)&gt;0),"새로 생기는 일인데 현재 공수가 있음 · ","")&amp;IF(AND($X53="삭제",COUNT($AC53,$AD53)&gt;0),"없애는 일인데 개선 후 공수가 있음 · ","")&amp;IF(AND($X53&lt;&gt;"신설",N($AH53)&gt;0,N($AI53)&gt;N($AH53)),"개선 후가 지금보다 더 오래 걸림 · ",""))</f>
        <v/>
      </c>
      <c r="BC53" s="28">
        <f t="shared" si="21"/>
        <v>0</v>
      </c>
    </row>
    <row r="54" spans="2:55" ht="21" customHeight="1" x14ac:dyDescent="0.3">
      <c r="B54" s="11"/>
      <c r="C54" s="11"/>
      <c r="D54" s="11"/>
      <c r="E54" s="11"/>
      <c r="F54" s="11"/>
      <c r="G54" s="11"/>
      <c r="H54" s="11"/>
      <c r="I54" s="11"/>
      <c r="J54" s="11"/>
      <c r="K54" s="22" t="str">
        <f>IF($L54="","",$C54&amp;"-"&amp;TEXT(COUNTIFS($C$6:$C54,$C54),"00"))</f>
        <v/>
      </c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25">
        <f>IF(OR($Q54="",$Q54=0,$P54=""),0,ROUND($P54*$Q54*IFERROR(IF($R54="건별/비정기",$T54,VLOOKUP($R54,'04.코드표'!$K$5:$L$8,2,FALSE)*$S54),0)/60,1))</f>
        <v>0</v>
      </c>
      <c r="AI54" s="25">
        <f>IF(OR($AD54="",$AD54=0,$AC54=""),0,ROUND($AC54*$AD54*IFERROR(IF($R54="건별/비정기",$T54,VLOOKUP($R54,'04.코드표'!$K$5:$L$8,2,FALSE)*$S54),0)/60,1))</f>
        <v>0</v>
      </c>
      <c r="AJ54" s="25" t="str">
        <f t="shared" si="11"/>
        <v/>
      </c>
      <c r="AK54" s="26" t="str">
        <f>IF($L54="","",ROUND($AJ54/'04.코드표'!$L$11,2))</f>
        <v/>
      </c>
      <c r="AL54" s="11"/>
      <c r="AM54" s="11"/>
      <c r="AN54" s="11"/>
      <c r="AO54" s="11"/>
      <c r="AP54" s="22" t="str">
        <f t="shared" si="12"/>
        <v/>
      </c>
      <c r="AQ54" s="22" t="str">
        <f t="shared" si="13"/>
        <v/>
      </c>
      <c r="AR54" s="22" t="str">
        <f t="shared" si="14"/>
        <v/>
      </c>
      <c r="AS54" s="27" t="str">
        <f t="shared" si="15"/>
        <v/>
      </c>
      <c r="AT54" s="11"/>
      <c r="AU54" s="11"/>
      <c r="AV54" s="28" t="str">
        <f t="shared" si="16"/>
        <v/>
      </c>
      <c r="AW54" s="28" t="str">
        <f t="shared" si="17"/>
        <v/>
      </c>
      <c r="AX54" s="28" t="str">
        <f t="shared" si="18"/>
        <v/>
      </c>
      <c r="AY54" s="28" t="str">
        <f>IF($L54="","",IF(SUMPRODUCT(--ISNUMBER(SEARCH({"조회","수집","추출","검색","파악","취합","조달","접수","연계","연동","선별","확보","입수","조사","식별","검출","감지","스크랩","필터링"},$AV54)))&gt;0,"조회",IF(SUMPRODUCT(--ISNUMBER(SEARCH({"검토","검증","판정","판별","확인","승인","선정","대조","점검","분류","확정","평가","판단","심사","검수","비교","결정","구분","진단","판독","협의"},$AV54)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54)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54)))&gt;0,"작성","기타")))))</f>
        <v/>
      </c>
      <c r="AZ54" s="28" t="str">
        <f t="shared" si="19"/>
        <v/>
      </c>
      <c r="BA54" s="28">
        <f t="shared" si="20"/>
        <v>0</v>
      </c>
      <c r="BB54" s="28" t="str">
        <f>IF($L54="","",IF(AND($AX54&lt;&gt;"",ISNUMBER(SEARCH($AX54,$AW54))),"L5 이름을 그대로 씀 · ","")&amp;IF(AND($L54&lt;&gt;"",$L54=$Z54),"개선 후 설명이 똑같음 · ","")&amp;IF(COUNTIFS($C$6:$C$62,$C54,$L$6:$L$62,$L54)&gt;1,"같은 내용이 또 있음 · ","")&amp;IF(AND($U54&lt;&gt;"",$U54=$V54),"필요 자료와 산출물이 같음 · ","")&amp;IF(AND($C54=$C5,$V5&lt;&gt;"",$U54&lt;&gt;"",ISERROR(SEARCH(SUBSTITUTE($V5,CHAR(10)," "),SUBSTITUTE($U54,CHAR(10)," "))),ISERROR(SEARCH(SUBSTITUTE($U54,CHAR(10)," "),SUBSTITUTE($V5,CHAR(10)," ")))),"앞 산출물과 이어지지 않음 · ","")&amp;IF(SUMPRODUCT(--ISNUMBER(SEARCH({"관리한다","처리한다","수행한다","진행한다"},$AW54)))&gt;0,"뭉뚱그린 동사 · ","")&amp;IF(ISNUMBER(SEARCH("하고 ",$AW54)),"한 줄에 동작 2개 · ","")&amp;IF(RIGHT($L54,2)&lt;&gt;"한다","~한다 로 안 끝남 · ","")&amp;IF(AND($P54&lt;&gt;"",N($P54)&gt;60),"1건 60분 넘음 — 더 쪼개세요 · ","")&amp;IF(AND($AA54="AI",$AD54&lt;&gt;"",N($AD54)&gt;0),"AI 혼자 하는데 사람 인원 있음 · ","")&amp;IF(AND($AA54="AI+사람",$AD54&lt;&gt;"",N($AD54)=0),"사람이 확인한다는데 인원 0 · ","")&amp;IF(AND($X54="유지",$Y54="AI"),"그대로 두는데 AI 를 쓴다고 함 · ","")&amp;IF(AND($X54="신설",COUNT($P54,$Q54)&gt;0),"새로 생기는 일인데 현재 공수가 있음 · ","")&amp;IF(AND($X54="삭제",COUNT($AC54,$AD54)&gt;0),"없애는 일인데 개선 후 공수가 있음 · ","")&amp;IF(AND($X54&lt;&gt;"신설",N($AH54)&gt;0,N($AI54)&gt;N($AH54)),"개선 후가 지금보다 더 오래 걸림 · ",""))</f>
        <v/>
      </c>
      <c r="BC54" s="28">
        <f t="shared" si="21"/>
        <v>0</v>
      </c>
    </row>
    <row r="55" spans="2:55" ht="21" customHeight="1" x14ac:dyDescent="0.3">
      <c r="B55" s="11"/>
      <c r="C55" s="11"/>
      <c r="D55" s="11"/>
      <c r="E55" s="11"/>
      <c r="F55" s="11"/>
      <c r="G55" s="11"/>
      <c r="H55" s="11"/>
      <c r="I55" s="11"/>
      <c r="J55" s="11"/>
      <c r="K55" s="22" t="str">
        <f>IF($L55="","",$C55&amp;"-"&amp;TEXT(COUNTIFS($C$6:$C55,$C55),"00"))</f>
        <v/>
      </c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25">
        <f>IF(OR($Q55="",$Q55=0,$P55=""),0,ROUND($P55*$Q55*IFERROR(IF($R55="건별/비정기",$T55,VLOOKUP($R55,'04.코드표'!$K$5:$L$8,2,FALSE)*$S55),0)/60,1))</f>
        <v>0</v>
      </c>
      <c r="AI55" s="25">
        <f>IF(OR($AD55="",$AD55=0,$AC55=""),0,ROUND($AC55*$AD55*IFERROR(IF($R55="건별/비정기",$T55,VLOOKUP($R55,'04.코드표'!$K$5:$L$8,2,FALSE)*$S55),0)/60,1))</f>
        <v>0</v>
      </c>
      <c r="AJ55" s="25" t="str">
        <f t="shared" si="11"/>
        <v/>
      </c>
      <c r="AK55" s="26" t="str">
        <f>IF($L55="","",ROUND($AJ55/'04.코드표'!$L$11,2))</f>
        <v/>
      </c>
      <c r="AL55" s="11"/>
      <c r="AM55" s="11"/>
      <c r="AN55" s="11"/>
      <c r="AO55" s="11"/>
      <c r="AP55" s="22" t="str">
        <f t="shared" si="12"/>
        <v/>
      </c>
      <c r="AQ55" s="22" t="str">
        <f t="shared" si="13"/>
        <v/>
      </c>
      <c r="AR55" s="22" t="str">
        <f t="shared" si="14"/>
        <v/>
      </c>
      <c r="AS55" s="27" t="str">
        <f t="shared" si="15"/>
        <v/>
      </c>
      <c r="AT55" s="11"/>
      <c r="AU55" s="11"/>
      <c r="AV55" s="28" t="str">
        <f t="shared" si="16"/>
        <v/>
      </c>
      <c r="AW55" s="28" t="str">
        <f t="shared" si="17"/>
        <v/>
      </c>
      <c r="AX55" s="28" t="str">
        <f t="shared" si="18"/>
        <v/>
      </c>
      <c r="AY55" s="28" t="str">
        <f>IF($L55="","",IF(SUMPRODUCT(--ISNUMBER(SEARCH({"조회","수집","추출","검색","파악","취합","조달","접수","연계","연동","선별","확보","입수","조사","식별","검출","감지","스크랩","필터링"},$AV55)))&gt;0,"조회",IF(SUMPRODUCT(--ISNUMBER(SEARCH({"검토","검증","판정","판별","확인","승인","선정","대조","점검","분류","확정","평가","판단","심사","검수","비교","결정","구분","진단","판독","협의"},$AV55)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55)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55)))&gt;0,"작성","기타")))))</f>
        <v/>
      </c>
      <c r="AZ55" s="28" t="str">
        <f t="shared" si="19"/>
        <v/>
      </c>
      <c r="BA55" s="28">
        <f t="shared" si="20"/>
        <v>0</v>
      </c>
      <c r="BB55" s="28" t="str">
        <f>IF($L55="","",IF(AND($AX55&lt;&gt;"",ISNUMBER(SEARCH($AX55,$AW55))),"L5 이름을 그대로 씀 · ","")&amp;IF(AND($L55&lt;&gt;"",$L55=$Z55),"개선 후 설명이 똑같음 · ","")&amp;IF(COUNTIFS($C$6:$C$62,$C55,$L$6:$L$62,$L55)&gt;1,"같은 내용이 또 있음 · ","")&amp;IF(AND($U55&lt;&gt;"",$U55=$V55),"필요 자료와 산출물이 같음 · ","")&amp;IF(AND($C55=$C5,$V5&lt;&gt;"",$U55&lt;&gt;"",ISERROR(SEARCH(SUBSTITUTE($V5,CHAR(10)," "),SUBSTITUTE($U55,CHAR(10)," "))),ISERROR(SEARCH(SUBSTITUTE($U55,CHAR(10)," "),SUBSTITUTE($V5,CHAR(10)," ")))),"앞 산출물과 이어지지 않음 · ","")&amp;IF(SUMPRODUCT(--ISNUMBER(SEARCH({"관리한다","처리한다","수행한다","진행한다"},$AW55)))&gt;0,"뭉뚱그린 동사 · ","")&amp;IF(ISNUMBER(SEARCH("하고 ",$AW55)),"한 줄에 동작 2개 · ","")&amp;IF(RIGHT($L55,2)&lt;&gt;"한다","~한다 로 안 끝남 · ","")&amp;IF(AND($P55&lt;&gt;"",N($P55)&gt;60),"1건 60분 넘음 — 더 쪼개세요 · ","")&amp;IF(AND($AA55="AI",$AD55&lt;&gt;"",N($AD55)&gt;0),"AI 혼자 하는데 사람 인원 있음 · ","")&amp;IF(AND($AA55="AI+사람",$AD55&lt;&gt;"",N($AD55)=0),"사람이 확인한다는데 인원 0 · ","")&amp;IF(AND($X55="유지",$Y55="AI"),"그대로 두는데 AI 를 쓴다고 함 · ","")&amp;IF(AND($X55="신설",COUNT($P55,$Q55)&gt;0),"새로 생기는 일인데 현재 공수가 있음 · ","")&amp;IF(AND($X55="삭제",COUNT($AC55,$AD55)&gt;0),"없애는 일인데 개선 후 공수가 있음 · ","")&amp;IF(AND($X55&lt;&gt;"신설",N($AH55)&gt;0,N($AI55)&gt;N($AH55)),"개선 후가 지금보다 더 오래 걸림 · ",""))</f>
        <v/>
      </c>
      <c r="BC55" s="28">
        <f t="shared" si="21"/>
        <v>0</v>
      </c>
    </row>
    <row r="56" spans="2:55" ht="21" customHeight="1" x14ac:dyDescent="0.3">
      <c r="B56" s="11"/>
      <c r="C56" s="11"/>
      <c r="D56" s="11"/>
      <c r="E56" s="11"/>
      <c r="F56" s="11"/>
      <c r="G56" s="11"/>
      <c r="H56" s="11"/>
      <c r="I56" s="11"/>
      <c r="J56" s="11"/>
      <c r="K56" s="22" t="str">
        <f>IF($L56="","",$C56&amp;"-"&amp;TEXT(COUNTIFS($C$6:$C56,$C56),"00"))</f>
        <v/>
      </c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25">
        <f>IF(OR($Q56="",$Q56=0,$P56=""),0,ROUND($P56*$Q56*IFERROR(IF($R56="건별/비정기",$T56,VLOOKUP($R56,'04.코드표'!$K$5:$L$8,2,FALSE)*$S56),0)/60,1))</f>
        <v>0</v>
      </c>
      <c r="AI56" s="25">
        <f>IF(OR($AD56="",$AD56=0,$AC56=""),0,ROUND($AC56*$AD56*IFERROR(IF($R56="건별/비정기",$T56,VLOOKUP($R56,'04.코드표'!$K$5:$L$8,2,FALSE)*$S56),0)/60,1))</f>
        <v>0</v>
      </c>
      <c r="AJ56" s="25" t="str">
        <f t="shared" si="11"/>
        <v/>
      </c>
      <c r="AK56" s="26" t="str">
        <f>IF($L56="","",ROUND($AJ56/'04.코드표'!$L$11,2))</f>
        <v/>
      </c>
      <c r="AL56" s="11"/>
      <c r="AM56" s="11"/>
      <c r="AN56" s="11"/>
      <c r="AO56" s="11"/>
      <c r="AP56" s="22" t="str">
        <f t="shared" si="12"/>
        <v/>
      </c>
      <c r="AQ56" s="22" t="str">
        <f t="shared" si="13"/>
        <v/>
      </c>
      <c r="AR56" s="22" t="str">
        <f t="shared" si="14"/>
        <v/>
      </c>
      <c r="AS56" s="27" t="str">
        <f t="shared" si="15"/>
        <v/>
      </c>
      <c r="AT56" s="11"/>
      <c r="AU56" s="11"/>
      <c r="AV56" s="28" t="str">
        <f t="shared" si="16"/>
        <v/>
      </c>
      <c r="AW56" s="28" t="str">
        <f t="shared" si="17"/>
        <v/>
      </c>
      <c r="AX56" s="28" t="str">
        <f t="shared" si="18"/>
        <v/>
      </c>
      <c r="AY56" s="28" t="str">
        <f>IF($L56="","",IF(SUMPRODUCT(--ISNUMBER(SEARCH({"조회","수집","추출","검색","파악","취합","조달","접수","연계","연동","선별","확보","입수","조사","식별","검출","감지","스크랩","필터링"},$AV56)))&gt;0,"조회",IF(SUMPRODUCT(--ISNUMBER(SEARCH({"검토","검증","판정","판별","확인","승인","선정","대조","점검","분류","확정","평가","판단","심사","검수","비교","결정","구분","진단","판독","협의"},$AV56)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56)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56)))&gt;0,"작성","기타")))))</f>
        <v/>
      </c>
      <c r="AZ56" s="28" t="str">
        <f t="shared" si="19"/>
        <v/>
      </c>
      <c r="BA56" s="28">
        <f t="shared" si="20"/>
        <v>0</v>
      </c>
      <c r="BB56" s="28" t="str">
        <f>IF($L56="","",IF(AND($AX56&lt;&gt;"",ISNUMBER(SEARCH($AX56,$AW56))),"L5 이름을 그대로 씀 · ","")&amp;IF(AND($L56&lt;&gt;"",$L56=$Z56),"개선 후 설명이 똑같음 · ","")&amp;IF(COUNTIFS($C$6:$C$62,$C56,$L$6:$L$62,$L56)&gt;1,"같은 내용이 또 있음 · ","")&amp;IF(AND($U56&lt;&gt;"",$U56=$V56),"필요 자료와 산출물이 같음 · ","")&amp;IF(AND($C56=$C5,$V5&lt;&gt;"",$U56&lt;&gt;"",ISERROR(SEARCH(SUBSTITUTE($V5,CHAR(10)," "),SUBSTITUTE($U56,CHAR(10)," "))),ISERROR(SEARCH(SUBSTITUTE($U56,CHAR(10)," "),SUBSTITUTE($V5,CHAR(10)," ")))),"앞 산출물과 이어지지 않음 · ","")&amp;IF(SUMPRODUCT(--ISNUMBER(SEARCH({"관리한다","처리한다","수행한다","진행한다"},$AW56)))&gt;0,"뭉뚱그린 동사 · ","")&amp;IF(ISNUMBER(SEARCH("하고 ",$AW56)),"한 줄에 동작 2개 · ","")&amp;IF(RIGHT($L56,2)&lt;&gt;"한다","~한다 로 안 끝남 · ","")&amp;IF(AND($P56&lt;&gt;"",N($P56)&gt;60),"1건 60분 넘음 — 더 쪼개세요 · ","")&amp;IF(AND($AA56="AI",$AD56&lt;&gt;"",N($AD56)&gt;0),"AI 혼자 하는데 사람 인원 있음 · ","")&amp;IF(AND($AA56="AI+사람",$AD56&lt;&gt;"",N($AD56)=0),"사람이 확인한다는데 인원 0 · ","")&amp;IF(AND($X56="유지",$Y56="AI"),"그대로 두는데 AI 를 쓴다고 함 · ","")&amp;IF(AND($X56="신설",COUNT($P56,$Q56)&gt;0),"새로 생기는 일인데 현재 공수가 있음 · ","")&amp;IF(AND($X56="삭제",COUNT($AC56,$AD56)&gt;0),"없애는 일인데 개선 후 공수가 있음 · ","")&amp;IF(AND($X56&lt;&gt;"신설",N($AH56)&gt;0,N($AI56)&gt;N($AH56)),"개선 후가 지금보다 더 오래 걸림 · ",""))</f>
        <v/>
      </c>
      <c r="BC56" s="28">
        <f t="shared" si="21"/>
        <v>0</v>
      </c>
    </row>
    <row r="57" spans="2:55" ht="21" customHeight="1" x14ac:dyDescent="0.3">
      <c r="B57" s="11"/>
      <c r="C57" s="11"/>
      <c r="D57" s="11"/>
      <c r="E57" s="11"/>
      <c r="F57" s="11"/>
      <c r="G57" s="11"/>
      <c r="H57" s="11"/>
      <c r="I57" s="11"/>
      <c r="J57" s="11"/>
      <c r="K57" s="22" t="str">
        <f>IF($L57="","",$C57&amp;"-"&amp;TEXT(COUNTIFS($C$6:$C57,$C57),"00"))</f>
        <v/>
      </c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25">
        <f>IF(OR($Q57="",$Q57=0,$P57=""),0,ROUND($P57*$Q57*IFERROR(IF($R57="건별/비정기",$T57,VLOOKUP($R57,'04.코드표'!$K$5:$L$8,2,FALSE)*$S57),0)/60,1))</f>
        <v>0</v>
      </c>
      <c r="AI57" s="25">
        <f>IF(OR($AD57="",$AD57=0,$AC57=""),0,ROUND($AC57*$AD57*IFERROR(IF($R57="건별/비정기",$T57,VLOOKUP($R57,'04.코드표'!$K$5:$L$8,2,FALSE)*$S57),0)/60,1))</f>
        <v>0</v>
      </c>
      <c r="AJ57" s="25" t="str">
        <f t="shared" si="11"/>
        <v/>
      </c>
      <c r="AK57" s="26" t="str">
        <f>IF($L57="","",ROUND($AJ57/'04.코드표'!$L$11,2))</f>
        <v/>
      </c>
      <c r="AL57" s="11"/>
      <c r="AM57" s="11"/>
      <c r="AN57" s="11"/>
      <c r="AO57" s="11"/>
      <c r="AP57" s="22" t="str">
        <f t="shared" si="12"/>
        <v/>
      </c>
      <c r="AQ57" s="22" t="str">
        <f t="shared" si="13"/>
        <v/>
      </c>
      <c r="AR57" s="22" t="str">
        <f t="shared" si="14"/>
        <v/>
      </c>
      <c r="AS57" s="27" t="str">
        <f t="shared" si="15"/>
        <v/>
      </c>
      <c r="AT57" s="11"/>
      <c r="AU57" s="11"/>
      <c r="AV57" s="28" t="str">
        <f t="shared" si="16"/>
        <v/>
      </c>
      <c r="AW57" s="28" t="str">
        <f t="shared" si="17"/>
        <v/>
      </c>
      <c r="AX57" s="28" t="str">
        <f t="shared" si="18"/>
        <v/>
      </c>
      <c r="AY57" s="28" t="str">
        <f>IF($L57="","",IF(SUMPRODUCT(--ISNUMBER(SEARCH({"조회","수집","추출","검색","파악","취합","조달","접수","연계","연동","선별","확보","입수","조사","식별","검출","감지","스크랩","필터링"},$AV57)))&gt;0,"조회",IF(SUMPRODUCT(--ISNUMBER(SEARCH({"검토","검증","판정","판별","확인","승인","선정","대조","점검","분류","확정","평가","판단","심사","검수","비교","결정","구분","진단","판독","협의"},$AV57)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57)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57)))&gt;0,"작성","기타")))))</f>
        <v/>
      </c>
      <c r="AZ57" s="28" t="str">
        <f t="shared" si="19"/>
        <v/>
      </c>
      <c r="BA57" s="28">
        <f t="shared" si="20"/>
        <v>0</v>
      </c>
      <c r="BB57" s="28" t="str">
        <f>IF($L57="","",IF(AND($AX57&lt;&gt;"",ISNUMBER(SEARCH($AX57,$AW57))),"L5 이름을 그대로 씀 · ","")&amp;IF(AND($L57&lt;&gt;"",$L57=$Z57),"개선 후 설명이 똑같음 · ","")&amp;IF(COUNTIFS($C$6:$C$62,$C57,$L$6:$L$62,$L57)&gt;1,"같은 내용이 또 있음 · ","")&amp;IF(AND($U57&lt;&gt;"",$U57=$V57),"필요 자료와 산출물이 같음 · ","")&amp;IF(AND($C57=$C5,$V5&lt;&gt;"",$U57&lt;&gt;"",ISERROR(SEARCH(SUBSTITUTE($V5,CHAR(10)," "),SUBSTITUTE($U57,CHAR(10)," "))),ISERROR(SEARCH(SUBSTITUTE($U57,CHAR(10)," "),SUBSTITUTE($V5,CHAR(10)," ")))),"앞 산출물과 이어지지 않음 · ","")&amp;IF(SUMPRODUCT(--ISNUMBER(SEARCH({"관리한다","처리한다","수행한다","진행한다"},$AW57)))&gt;0,"뭉뚱그린 동사 · ","")&amp;IF(ISNUMBER(SEARCH("하고 ",$AW57)),"한 줄에 동작 2개 · ","")&amp;IF(RIGHT($L57,2)&lt;&gt;"한다","~한다 로 안 끝남 · ","")&amp;IF(AND($P57&lt;&gt;"",N($P57)&gt;60),"1건 60분 넘음 — 더 쪼개세요 · ","")&amp;IF(AND($AA57="AI",$AD57&lt;&gt;"",N($AD57)&gt;0),"AI 혼자 하는데 사람 인원 있음 · ","")&amp;IF(AND($AA57="AI+사람",$AD57&lt;&gt;"",N($AD57)=0),"사람이 확인한다는데 인원 0 · ","")&amp;IF(AND($X57="유지",$Y57="AI"),"그대로 두는데 AI 를 쓴다고 함 · ","")&amp;IF(AND($X57="신설",COUNT($P57,$Q57)&gt;0),"새로 생기는 일인데 현재 공수가 있음 · ","")&amp;IF(AND($X57="삭제",COUNT($AC57,$AD57)&gt;0),"없애는 일인데 개선 후 공수가 있음 · ","")&amp;IF(AND($X57&lt;&gt;"신설",N($AH57)&gt;0,N($AI57)&gt;N($AH57)),"개선 후가 지금보다 더 오래 걸림 · ",""))</f>
        <v/>
      </c>
      <c r="BC57" s="28">
        <f t="shared" si="21"/>
        <v>0</v>
      </c>
    </row>
    <row r="58" spans="2:55" ht="21" customHeight="1" x14ac:dyDescent="0.3">
      <c r="B58" s="11"/>
      <c r="C58" s="11"/>
      <c r="D58" s="11"/>
      <c r="E58" s="11"/>
      <c r="F58" s="11"/>
      <c r="G58" s="11"/>
      <c r="H58" s="11"/>
      <c r="I58" s="11"/>
      <c r="J58" s="11"/>
      <c r="K58" s="22" t="str">
        <f>IF($L58="","",$C58&amp;"-"&amp;TEXT(COUNTIFS($C$6:$C58,$C58),"00"))</f>
        <v/>
      </c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25">
        <f>IF(OR($Q58="",$Q58=0,$P58=""),0,ROUND($P58*$Q58*IFERROR(IF($R58="건별/비정기",$T58,VLOOKUP($R58,'04.코드표'!$K$5:$L$8,2,FALSE)*$S58),0)/60,1))</f>
        <v>0</v>
      </c>
      <c r="AI58" s="25">
        <f>IF(OR($AD58="",$AD58=0,$AC58=""),0,ROUND($AC58*$AD58*IFERROR(IF($R58="건별/비정기",$T58,VLOOKUP($R58,'04.코드표'!$K$5:$L$8,2,FALSE)*$S58),0)/60,1))</f>
        <v>0</v>
      </c>
      <c r="AJ58" s="25" t="str">
        <f t="shared" si="11"/>
        <v/>
      </c>
      <c r="AK58" s="26" t="str">
        <f>IF($L58="","",ROUND($AJ58/'04.코드표'!$L$11,2))</f>
        <v/>
      </c>
      <c r="AL58" s="11"/>
      <c r="AM58" s="11"/>
      <c r="AN58" s="11"/>
      <c r="AO58" s="11"/>
      <c r="AP58" s="22" t="str">
        <f t="shared" si="12"/>
        <v/>
      </c>
      <c r="AQ58" s="22" t="str">
        <f t="shared" si="13"/>
        <v/>
      </c>
      <c r="AR58" s="22" t="str">
        <f t="shared" si="14"/>
        <v/>
      </c>
      <c r="AS58" s="27" t="str">
        <f t="shared" si="15"/>
        <v/>
      </c>
      <c r="AT58" s="11"/>
      <c r="AU58" s="11"/>
      <c r="AV58" s="28" t="str">
        <f t="shared" si="16"/>
        <v/>
      </c>
      <c r="AW58" s="28" t="str">
        <f t="shared" si="17"/>
        <v/>
      </c>
      <c r="AX58" s="28" t="str">
        <f t="shared" si="18"/>
        <v/>
      </c>
      <c r="AY58" s="28" t="str">
        <f>IF($L58="","",IF(SUMPRODUCT(--ISNUMBER(SEARCH({"조회","수집","추출","검색","파악","취합","조달","접수","연계","연동","선별","확보","입수","조사","식별","검출","감지","스크랩","필터링"},$AV58)))&gt;0,"조회",IF(SUMPRODUCT(--ISNUMBER(SEARCH({"검토","검증","판정","판별","확인","승인","선정","대조","점검","분류","확정","평가","판단","심사","검수","비교","결정","구분","진단","판독","협의"},$AV58)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58)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58)))&gt;0,"작성","기타")))))</f>
        <v/>
      </c>
      <c r="AZ58" s="28" t="str">
        <f t="shared" si="19"/>
        <v/>
      </c>
      <c r="BA58" s="28">
        <f t="shared" si="20"/>
        <v>0</v>
      </c>
      <c r="BB58" s="28" t="str">
        <f>IF($L58="","",IF(AND($AX58&lt;&gt;"",ISNUMBER(SEARCH($AX58,$AW58))),"L5 이름을 그대로 씀 · ","")&amp;IF(AND($L58&lt;&gt;"",$L58=$Z58),"개선 후 설명이 똑같음 · ","")&amp;IF(COUNTIFS($C$6:$C$62,$C58,$L$6:$L$62,$L58)&gt;1,"같은 내용이 또 있음 · ","")&amp;IF(AND($U58&lt;&gt;"",$U58=$V58),"필요 자료와 산출물이 같음 · ","")&amp;IF(AND($C58=$C5,$V5&lt;&gt;"",$U58&lt;&gt;"",ISERROR(SEARCH(SUBSTITUTE($V5,CHAR(10)," "),SUBSTITUTE($U58,CHAR(10)," "))),ISERROR(SEARCH(SUBSTITUTE($U58,CHAR(10)," "),SUBSTITUTE($V5,CHAR(10)," ")))),"앞 산출물과 이어지지 않음 · ","")&amp;IF(SUMPRODUCT(--ISNUMBER(SEARCH({"관리한다","처리한다","수행한다","진행한다"},$AW58)))&gt;0,"뭉뚱그린 동사 · ","")&amp;IF(ISNUMBER(SEARCH("하고 ",$AW58)),"한 줄에 동작 2개 · ","")&amp;IF(RIGHT($L58,2)&lt;&gt;"한다","~한다 로 안 끝남 · ","")&amp;IF(AND($P58&lt;&gt;"",N($P58)&gt;60),"1건 60분 넘음 — 더 쪼개세요 · ","")&amp;IF(AND($AA58="AI",$AD58&lt;&gt;"",N($AD58)&gt;0),"AI 혼자 하는데 사람 인원 있음 · ","")&amp;IF(AND($AA58="AI+사람",$AD58&lt;&gt;"",N($AD58)=0),"사람이 확인한다는데 인원 0 · ","")&amp;IF(AND($X58="유지",$Y58="AI"),"그대로 두는데 AI 를 쓴다고 함 · ","")&amp;IF(AND($X58="신설",COUNT($P58,$Q58)&gt;0),"새로 생기는 일인데 현재 공수가 있음 · ","")&amp;IF(AND($X58="삭제",COUNT($AC58,$AD58)&gt;0),"없애는 일인데 개선 후 공수가 있음 · ","")&amp;IF(AND($X58&lt;&gt;"신설",N($AH58)&gt;0,N($AI58)&gt;N($AH58)),"개선 후가 지금보다 더 오래 걸림 · ",""))</f>
        <v/>
      </c>
      <c r="BC58" s="28">
        <f t="shared" si="21"/>
        <v>0</v>
      </c>
    </row>
    <row r="59" spans="2:55" ht="21" customHeight="1" x14ac:dyDescent="0.3">
      <c r="B59" s="11"/>
      <c r="C59" s="11"/>
      <c r="D59" s="11"/>
      <c r="E59" s="11"/>
      <c r="F59" s="11"/>
      <c r="G59" s="11"/>
      <c r="H59" s="11"/>
      <c r="I59" s="11"/>
      <c r="J59" s="11"/>
      <c r="K59" s="22" t="str">
        <f>IF($L59="","",$C59&amp;"-"&amp;TEXT(COUNTIFS($C$6:$C59,$C59),"00"))</f>
        <v/>
      </c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25">
        <f>IF(OR($Q59="",$Q59=0,$P59=""),0,ROUND($P59*$Q59*IFERROR(IF($R59="건별/비정기",$T59,VLOOKUP($R59,'04.코드표'!$K$5:$L$8,2,FALSE)*$S59),0)/60,1))</f>
        <v>0</v>
      </c>
      <c r="AI59" s="25">
        <f>IF(OR($AD59="",$AD59=0,$AC59=""),0,ROUND($AC59*$AD59*IFERROR(IF($R59="건별/비정기",$T59,VLOOKUP($R59,'04.코드표'!$K$5:$L$8,2,FALSE)*$S59),0)/60,1))</f>
        <v>0</v>
      </c>
      <c r="AJ59" s="25" t="str">
        <f t="shared" si="11"/>
        <v/>
      </c>
      <c r="AK59" s="26" t="str">
        <f>IF($L59="","",ROUND($AJ59/'04.코드표'!$L$11,2))</f>
        <v/>
      </c>
      <c r="AL59" s="11"/>
      <c r="AM59" s="11"/>
      <c r="AN59" s="11"/>
      <c r="AO59" s="11"/>
      <c r="AP59" s="22" t="str">
        <f t="shared" si="12"/>
        <v/>
      </c>
      <c r="AQ59" s="22" t="str">
        <f t="shared" si="13"/>
        <v/>
      </c>
      <c r="AR59" s="22" t="str">
        <f t="shared" si="14"/>
        <v/>
      </c>
      <c r="AS59" s="27" t="str">
        <f t="shared" si="15"/>
        <v/>
      </c>
      <c r="AT59" s="11"/>
      <c r="AU59" s="11"/>
      <c r="AV59" s="28" t="str">
        <f t="shared" si="16"/>
        <v/>
      </c>
      <c r="AW59" s="28" t="str">
        <f t="shared" si="17"/>
        <v/>
      </c>
      <c r="AX59" s="28" t="str">
        <f t="shared" si="18"/>
        <v/>
      </c>
      <c r="AY59" s="28" t="str">
        <f>IF($L59="","",IF(SUMPRODUCT(--ISNUMBER(SEARCH({"조회","수집","추출","검색","파악","취합","조달","접수","연계","연동","선별","확보","입수","조사","식별","검출","감지","스크랩","필터링"},$AV59)))&gt;0,"조회",IF(SUMPRODUCT(--ISNUMBER(SEARCH({"검토","검증","판정","판별","확인","승인","선정","대조","점검","분류","확정","평가","판단","심사","검수","비교","결정","구분","진단","판독","협의"},$AV59)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59)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59)))&gt;0,"작성","기타")))))</f>
        <v/>
      </c>
      <c r="AZ59" s="28" t="str">
        <f t="shared" si="19"/>
        <v/>
      </c>
      <c r="BA59" s="28">
        <f t="shared" si="20"/>
        <v>0</v>
      </c>
      <c r="BB59" s="28" t="str">
        <f>IF($L59="","",IF(AND($AX59&lt;&gt;"",ISNUMBER(SEARCH($AX59,$AW59))),"L5 이름을 그대로 씀 · ","")&amp;IF(AND($L59&lt;&gt;"",$L59=$Z59),"개선 후 설명이 똑같음 · ","")&amp;IF(COUNTIFS($C$6:$C$62,$C59,$L$6:$L$62,$L59)&gt;1,"같은 내용이 또 있음 · ","")&amp;IF(AND($U59&lt;&gt;"",$U59=$V59),"필요 자료와 산출물이 같음 · ","")&amp;IF(AND($C59=$C5,$V5&lt;&gt;"",$U59&lt;&gt;"",ISERROR(SEARCH(SUBSTITUTE($V5,CHAR(10)," "),SUBSTITUTE($U59,CHAR(10)," "))),ISERROR(SEARCH(SUBSTITUTE($U59,CHAR(10)," "),SUBSTITUTE($V5,CHAR(10)," ")))),"앞 산출물과 이어지지 않음 · ","")&amp;IF(SUMPRODUCT(--ISNUMBER(SEARCH({"관리한다","처리한다","수행한다","진행한다"},$AW59)))&gt;0,"뭉뚱그린 동사 · ","")&amp;IF(ISNUMBER(SEARCH("하고 ",$AW59)),"한 줄에 동작 2개 · ","")&amp;IF(RIGHT($L59,2)&lt;&gt;"한다","~한다 로 안 끝남 · ","")&amp;IF(AND($P59&lt;&gt;"",N($P59)&gt;60),"1건 60분 넘음 — 더 쪼개세요 · ","")&amp;IF(AND($AA59="AI",$AD59&lt;&gt;"",N($AD59)&gt;0),"AI 혼자 하는데 사람 인원 있음 · ","")&amp;IF(AND($AA59="AI+사람",$AD59&lt;&gt;"",N($AD59)=0),"사람이 확인한다는데 인원 0 · ","")&amp;IF(AND($X59="유지",$Y59="AI"),"그대로 두는데 AI 를 쓴다고 함 · ","")&amp;IF(AND($X59="신설",COUNT($P59,$Q59)&gt;0),"새로 생기는 일인데 현재 공수가 있음 · ","")&amp;IF(AND($X59="삭제",COUNT($AC59,$AD59)&gt;0),"없애는 일인데 개선 후 공수가 있음 · ","")&amp;IF(AND($X59&lt;&gt;"신설",N($AH59)&gt;0,N($AI59)&gt;N($AH59)),"개선 후가 지금보다 더 오래 걸림 · ",""))</f>
        <v/>
      </c>
      <c r="BC59" s="28">
        <f t="shared" si="21"/>
        <v>0</v>
      </c>
    </row>
    <row r="60" spans="2:55" ht="21" customHeight="1" x14ac:dyDescent="0.3">
      <c r="B60" s="11"/>
      <c r="C60" s="11"/>
      <c r="D60" s="11"/>
      <c r="E60" s="11"/>
      <c r="F60" s="11"/>
      <c r="G60" s="11"/>
      <c r="H60" s="11"/>
      <c r="I60" s="11"/>
      <c r="J60" s="11"/>
      <c r="K60" s="22" t="str">
        <f>IF($L60="","",$C60&amp;"-"&amp;TEXT(COUNTIFS($C$6:$C60,$C60),"00"))</f>
        <v/>
      </c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25">
        <f>IF(OR($Q60="",$Q60=0,$P60=""),0,ROUND($P60*$Q60*IFERROR(IF($R60="건별/비정기",$T60,VLOOKUP($R60,'04.코드표'!$K$5:$L$8,2,FALSE)*$S60),0)/60,1))</f>
        <v>0</v>
      </c>
      <c r="AI60" s="25">
        <f>IF(OR($AD60="",$AD60=0,$AC60=""),0,ROUND($AC60*$AD60*IFERROR(IF($R60="건별/비정기",$T60,VLOOKUP($R60,'04.코드표'!$K$5:$L$8,2,FALSE)*$S60),0)/60,1))</f>
        <v>0</v>
      </c>
      <c r="AJ60" s="25" t="str">
        <f t="shared" si="11"/>
        <v/>
      </c>
      <c r="AK60" s="26" t="str">
        <f>IF($L60="","",ROUND($AJ60/'04.코드표'!$L$11,2))</f>
        <v/>
      </c>
      <c r="AL60" s="11"/>
      <c r="AM60" s="11"/>
      <c r="AN60" s="11"/>
      <c r="AO60" s="11"/>
      <c r="AP60" s="22" t="str">
        <f t="shared" si="12"/>
        <v/>
      </c>
      <c r="AQ60" s="22" t="str">
        <f t="shared" si="13"/>
        <v/>
      </c>
      <c r="AR60" s="22" t="str">
        <f t="shared" si="14"/>
        <v/>
      </c>
      <c r="AS60" s="27" t="str">
        <f t="shared" si="15"/>
        <v/>
      </c>
      <c r="AT60" s="11"/>
      <c r="AU60" s="11"/>
      <c r="AV60" s="28" t="str">
        <f t="shared" si="16"/>
        <v/>
      </c>
      <c r="AW60" s="28" t="str">
        <f t="shared" si="17"/>
        <v/>
      </c>
      <c r="AX60" s="28" t="str">
        <f t="shared" si="18"/>
        <v/>
      </c>
      <c r="AY60" s="28" t="str">
        <f>IF($L60="","",IF(SUMPRODUCT(--ISNUMBER(SEARCH({"조회","수집","추출","검색","파악","취합","조달","접수","연계","연동","선별","확보","입수","조사","식별","검출","감지","스크랩","필터링"},$AV60)))&gt;0,"조회",IF(SUMPRODUCT(--ISNUMBER(SEARCH({"검토","검증","판정","판별","확인","승인","선정","대조","점검","분류","확정","평가","판단","심사","검수","비교","결정","구분","진단","판독","협의"},$AV60)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60)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60)))&gt;0,"작성","기타")))))</f>
        <v/>
      </c>
      <c r="AZ60" s="28" t="str">
        <f t="shared" si="19"/>
        <v/>
      </c>
      <c r="BA60" s="28">
        <f t="shared" si="20"/>
        <v>0</v>
      </c>
      <c r="BB60" s="28" t="str">
        <f>IF($L60="","",IF(AND($AX60&lt;&gt;"",ISNUMBER(SEARCH($AX60,$AW60))),"L5 이름을 그대로 씀 · ","")&amp;IF(AND($L60&lt;&gt;"",$L60=$Z60),"개선 후 설명이 똑같음 · ","")&amp;IF(COUNTIFS($C$6:$C$62,$C60,$L$6:$L$62,$L60)&gt;1,"같은 내용이 또 있음 · ","")&amp;IF(AND($U60&lt;&gt;"",$U60=$V60),"필요 자료와 산출물이 같음 · ","")&amp;IF(AND($C60=$C5,$V5&lt;&gt;"",$U60&lt;&gt;"",ISERROR(SEARCH(SUBSTITUTE($V5,CHAR(10)," "),SUBSTITUTE($U60,CHAR(10)," "))),ISERROR(SEARCH(SUBSTITUTE($U60,CHAR(10)," "),SUBSTITUTE($V5,CHAR(10)," ")))),"앞 산출물과 이어지지 않음 · ","")&amp;IF(SUMPRODUCT(--ISNUMBER(SEARCH({"관리한다","처리한다","수행한다","진행한다"},$AW60)))&gt;0,"뭉뚱그린 동사 · ","")&amp;IF(ISNUMBER(SEARCH("하고 ",$AW60)),"한 줄에 동작 2개 · ","")&amp;IF(RIGHT($L60,2)&lt;&gt;"한다","~한다 로 안 끝남 · ","")&amp;IF(AND($P60&lt;&gt;"",N($P60)&gt;60),"1건 60분 넘음 — 더 쪼개세요 · ","")&amp;IF(AND($AA60="AI",$AD60&lt;&gt;"",N($AD60)&gt;0),"AI 혼자 하는데 사람 인원 있음 · ","")&amp;IF(AND($AA60="AI+사람",$AD60&lt;&gt;"",N($AD60)=0),"사람이 확인한다는데 인원 0 · ","")&amp;IF(AND($X60="유지",$Y60="AI"),"그대로 두는데 AI 를 쓴다고 함 · ","")&amp;IF(AND($X60="신설",COUNT($P60,$Q60)&gt;0),"새로 생기는 일인데 현재 공수가 있음 · ","")&amp;IF(AND($X60="삭제",COUNT($AC60,$AD60)&gt;0),"없애는 일인데 개선 후 공수가 있음 · ","")&amp;IF(AND($X60&lt;&gt;"신설",N($AH60)&gt;0,N($AI60)&gt;N($AH60)),"개선 후가 지금보다 더 오래 걸림 · ",""))</f>
        <v/>
      </c>
      <c r="BC60" s="28">
        <f t="shared" si="21"/>
        <v>0</v>
      </c>
    </row>
    <row r="61" spans="2:55" ht="21" customHeight="1" x14ac:dyDescent="0.3">
      <c r="B61" s="11"/>
      <c r="C61" s="11"/>
      <c r="D61" s="11"/>
      <c r="E61" s="11"/>
      <c r="F61" s="11"/>
      <c r="G61" s="11"/>
      <c r="H61" s="11"/>
      <c r="I61" s="11"/>
      <c r="J61" s="11"/>
      <c r="K61" s="22" t="str">
        <f>IF($L61="","",$C61&amp;"-"&amp;TEXT(COUNTIFS($C$6:$C61,$C61),"00"))</f>
        <v/>
      </c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25">
        <f>IF(OR($Q61="",$Q61=0,$P61=""),0,ROUND($P61*$Q61*IFERROR(IF($R61="건별/비정기",$T61,VLOOKUP($R61,'04.코드표'!$K$5:$L$8,2,FALSE)*$S61),0)/60,1))</f>
        <v>0</v>
      </c>
      <c r="AI61" s="25">
        <f>IF(OR($AD61="",$AD61=0,$AC61=""),0,ROUND($AC61*$AD61*IFERROR(IF($R61="건별/비정기",$T61,VLOOKUP($R61,'04.코드표'!$K$5:$L$8,2,FALSE)*$S61),0)/60,1))</f>
        <v>0</v>
      </c>
      <c r="AJ61" s="25" t="str">
        <f t="shared" si="11"/>
        <v/>
      </c>
      <c r="AK61" s="26" t="str">
        <f>IF($L61="","",ROUND($AJ61/'04.코드표'!$L$11,2))</f>
        <v/>
      </c>
      <c r="AL61" s="11"/>
      <c r="AM61" s="11"/>
      <c r="AN61" s="11"/>
      <c r="AO61" s="11"/>
      <c r="AP61" s="22" t="str">
        <f t="shared" si="12"/>
        <v/>
      </c>
      <c r="AQ61" s="22" t="str">
        <f t="shared" si="13"/>
        <v/>
      </c>
      <c r="AR61" s="22" t="str">
        <f t="shared" si="14"/>
        <v/>
      </c>
      <c r="AS61" s="27" t="str">
        <f t="shared" si="15"/>
        <v/>
      </c>
      <c r="AT61" s="11"/>
      <c r="AU61" s="11"/>
      <c r="AV61" s="28" t="str">
        <f t="shared" si="16"/>
        <v/>
      </c>
      <c r="AW61" s="28" t="str">
        <f t="shared" si="17"/>
        <v/>
      </c>
      <c r="AX61" s="28" t="str">
        <f t="shared" si="18"/>
        <v/>
      </c>
      <c r="AY61" s="28" t="str">
        <f>IF($L61="","",IF(SUMPRODUCT(--ISNUMBER(SEARCH({"조회","수집","추출","검색","파악","취합","조달","접수","연계","연동","선별","확보","입수","조사","식별","검출","감지","스크랩","필터링"},$AV61)))&gt;0,"조회",IF(SUMPRODUCT(--ISNUMBER(SEARCH({"검토","검증","판정","판별","확인","승인","선정","대조","점검","분류","확정","평가","판단","심사","검수","비교","결정","구분","진단","판독","협의"},$AV61)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61)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61)))&gt;0,"작성","기타")))))</f>
        <v/>
      </c>
      <c r="AZ61" s="28" t="str">
        <f t="shared" si="19"/>
        <v/>
      </c>
      <c r="BA61" s="28">
        <f t="shared" si="20"/>
        <v>0</v>
      </c>
      <c r="BB61" s="28" t="str">
        <f>IF($L61="","",IF(AND($AX61&lt;&gt;"",ISNUMBER(SEARCH($AX61,$AW61))),"L5 이름을 그대로 씀 · ","")&amp;IF(AND($L61&lt;&gt;"",$L61=$Z61),"개선 후 설명이 똑같음 · ","")&amp;IF(COUNTIFS($C$6:$C$62,$C61,$L$6:$L$62,$L61)&gt;1,"같은 내용이 또 있음 · ","")&amp;IF(AND($U61&lt;&gt;"",$U61=$V61),"필요 자료와 산출물이 같음 · ","")&amp;IF(AND($C61=$C5,$V5&lt;&gt;"",$U61&lt;&gt;"",ISERROR(SEARCH(SUBSTITUTE($V5,CHAR(10)," "),SUBSTITUTE($U61,CHAR(10)," "))),ISERROR(SEARCH(SUBSTITUTE($U61,CHAR(10)," "),SUBSTITUTE($V5,CHAR(10)," ")))),"앞 산출물과 이어지지 않음 · ","")&amp;IF(SUMPRODUCT(--ISNUMBER(SEARCH({"관리한다","처리한다","수행한다","진행한다"},$AW61)))&gt;0,"뭉뚱그린 동사 · ","")&amp;IF(ISNUMBER(SEARCH("하고 ",$AW61)),"한 줄에 동작 2개 · ","")&amp;IF(RIGHT($L61,2)&lt;&gt;"한다","~한다 로 안 끝남 · ","")&amp;IF(AND($P61&lt;&gt;"",N($P61)&gt;60),"1건 60분 넘음 — 더 쪼개세요 · ","")&amp;IF(AND($AA61="AI",$AD61&lt;&gt;"",N($AD61)&gt;0),"AI 혼자 하는데 사람 인원 있음 · ","")&amp;IF(AND($AA61="AI+사람",$AD61&lt;&gt;"",N($AD61)=0),"사람이 확인한다는데 인원 0 · ","")&amp;IF(AND($X61="유지",$Y61="AI"),"그대로 두는데 AI 를 쓴다고 함 · ","")&amp;IF(AND($X61="신설",COUNT($P61,$Q61)&gt;0),"새로 생기는 일인데 현재 공수가 있음 · ","")&amp;IF(AND($X61="삭제",COUNT($AC61,$AD61)&gt;0),"없애는 일인데 개선 후 공수가 있음 · ","")&amp;IF(AND($X61&lt;&gt;"신설",N($AH61)&gt;0,N($AI61)&gt;N($AH61)),"개선 후가 지금보다 더 오래 걸림 · ",""))</f>
        <v/>
      </c>
      <c r="BC61" s="28">
        <f t="shared" si="21"/>
        <v>0</v>
      </c>
    </row>
    <row r="62" spans="2:55" ht="21" customHeight="1" x14ac:dyDescent="0.3">
      <c r="B62" s="11"/>
      <c r="C62" s="11"/>
      <c r="D62" s="11"/>
      <c r="E62" s="11"/>
      <c r="F62" s="11"/>
      <c r="G62" s="11"/>
      <c r="H62" s="11"/>
      <c r="I62" s="11"/>
      <c r="J62" s="11"/>
      <c r="K62" s="22" t="str">
        <f>IF($L62="","",$C62&amp;"-"&amp;TEXT(COUNTIFS($C$6:$C62,$C62),"00"))</f>
        <v/>
      </c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25">
        <f>IF(OR($Q62="",$Q62=0,$P62=""),0,ROUND($P62*$Q62*IFERROR(IF($R62="건별/비정기",$T62,VLOOKUP($R62,'04.코드표'!$K$5:$L$8,2,FALSE)*$S62),0)/60,1))</f>
        <v>0</v>
      </c>
      <c r="AI62" s="25">
        <f>IF(OR($AD62="",$AD62=0,$AC62=""),0,ROUND($AC62*$AD62*IFERROR(IF($R62="건별/비정기",$T62,VLOOKUP($R62,'04.코드표'!$K$5:$L$8,2,FALSE)*$S62),0)/60,1))</f>
        <v>0</v>
      </c>
      <c r="AJ62" s="25" t="str">
        <f t="shared" si="11"/>
        <v/>
      </c>
      <c r="AK62" s="26" t="str">
        <f>IF($L62="","",ROUND($AJ62/'04.코드표'!$L$11,2))</f>
        <v/>
      </c>
      <c r="AL62" s="11"/>
      <c r="AM62" s="11"/>
      <c r="AN62" s="11"/>
      <c r="AO62" s="11"/>
      <c r="AP62" s="22" t="str">
        <f t="shared" si="12"/>
        <v/>
      </c>
      <c r="AQ62" s="22" t="str">
        <f t="shared" si="13"/>
        <v/>
      </c>
      <c r="AR62" s="22" t="str">
        <f t="shared" si="14"/>
        <v/>
      </c>
      <c r="AS62" s="27" t="str">
        <f t="shared" si="15"/>
        <v/>
      </c>
      <c r="AT62" s="11"/>
      <c r="AU62" s="11"/>
      <c r="AV62" s="28" t="str">
        <f t="shared" si="16"/>
        <v/>
      </c>
      <c r="AW62" s="28" t="str">
        <f t="shared" si="17"/>
        <v/>
      </c>
      <c r="AX62" s="28" t="str">
        <f t="shared" si="18"/>
        <v/>
      </c>
      <c r="AY62" s="28" t="str">
        <f>IF($L62="","",IF(SUMPRODUCT(--ISNUMBER(SEARCH({"조회","수집","추출","검색","파악","취합","조달","접수","연계","연동","선별","확보","입수","조사","식별","검출","감지","스크랩","필터링"},$AV62)))&gt;0,"조회",IF(SUMPRODUCT(--ISNUMBER(SEARCH({"검토","검증","판정","판별","확인","승인","선정","대조","점검","분류","확정","평가","판단","심사","검수","비교","결정","구분","진단","판독","협의"},$AV62)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62)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62)))&gt;0,"작성","기타")))))</f>
        <v/>
      </c>
      <c r="AZ62" s="28" t="str">
        <f t="shared" si="19"/>
        <v/>
      </c>
      <c r="BA62" s="28">
        <f t="shared" si="20"/>
        <v>0</v>
      </c>
      <c r="BB62" s="28" t="str">
        <f>IF($L62="","",IF(AND($AX62&lt;&gt;"",ISNUMBER(SEARCH($AX62,$AW62))),"L5 이름을 그대로 씀 · ","")&amp;IF(AND($L62&lt;&gt;"",$L62=$Z62),"개선 후 설명이 똑같음 · ","")&amp;IF(COUNTIFS($C$6:$C$62,$C62,$L$6:$L$62,$L62)&gt;1,"같은 내용이 또 있음 · ","")&amp;IF(AND($U62&lt;&gt;"",$U62=$V62),"필요 자료와 산출물이 같음 · ","")&amp;IF(AND($C62=$C5,$V5&lt;&gt;"",$U62&lt;&gt;"",ISERROR(SEARCH(SUBSTITUTE($V5,CHAR(10)," "),SUBSTITUTE($U62,CHAR(10)," "))),ISERROR(SEARCH(SUBSTITUTE($U62,CHAR(10)," "),SUBSTITUTE($V5,CHAR(10)," ")))),"앞 산출물과 이어지지 않음 · ","")&amp;IF(SUMPRODUCT(--ISNUMBER(SEARCH({"관리한다","처리한다","수행한다","진행한다"},$AW62)))&gt;0,"뭉뚱그린 동사 · ","")&amp;IF(ISNUMBER(SEARCH("하고 ",$AW62)),"한 줄에 동작 2개 · ","")&amp;IF(RIGHT($L62,2)&lt;&gt;"한다","~한다 로 안 끝남 · ","")&amp;IF(AND($P62&lt;&gt;"",N($P62)&gt;60),"1건 60분 넘음 — 더 쪼개세요 · ","")&amp;IF(AND($AA62="AI",$AD62&lt;&gt;"",N($AD62)&gt;0),"AI 혼자 하는데 사람 인원 있음 · ","")&amp;IF(AND($AA62="AI+사람",$AD62&lt;&gt;"",N($AD62)=0),"사람이 확인한다는데 인원 0 · ","")&amp;IF(AND($X62="유지",$Y62="AI"),"그대로 두는데 AI 를 쓴다고 함 · ","")&amp;IF(AND($X62="신설",COUNT($P62,$Q62)&gt;0),"새로 생기는 일인데 현재 공수가 있음 · ","")&amp;IF(AND($X62="삭제",COUNT($AC62,$AD62)&gt;0),"없애는 일인데 개선 후 공수가 있음 · ","")&amp;IF(AND($X62&lt;&gt;"신설",N($AH62)&gt;0,N($AI62)&gt;N($AH62)),"개선 후가 지금보다 더 오래 걸림 · ",""))</f>
        <v/>
      </c>
      <c r="BC62" s="28">
        <f t="shared" si="21"/>
        <v>0</v>
      </c>
    </row>
    <row r="63" spans="2:55" ht="21" customHeight="1" x14ac:dyDescent="0.3"/>
    <row r="64" spans="2:55" ht="21" customHeight="1" x14ac:dyDescent="0.3"/>
    <row r="65" ht="21" customHeight="1" x14ac:dyDescent="0.3"/>
    <row r="66" ht="21" customHeight="1" x14ac:dyDescent="0.3"/>
    <row r="67" ht="21" customHeight="1" x14ac:dyDescent="0.3"/>
    <row r="68" ht="21" customHeight="1" x14ac:dyDescent="0.3"/>
    <row r="69" ht="21" customHeight="1" x14ac:dyDescent="0.3"/>
    <row r="70" ht="21" customHeight="1" x14ac:dyDescent="0.3"/>
    <row r="71" ht="21" customHeight="1" x14ac:dyDescent="0.3"/>
    <row r="72" ht="21" customHeight="1" x14ac:dyDescent="0.3"/>
    <row r="73" ht="21" customHeight="1" x14ac:dyDescent="0.3"/>
    <row r="74" ht="21" customHeight="1" x14ac:dyDescent="0.3"/>
    <row r="75" ht="21" customHeight="1" x14ac:dyDescent="0.3"/>
    <row r="76" ht="21" customHeight="1" x14ac:dyDescent="0.3"/>
    <row r="77" ht="21" customHeight="1" x14ac:dyDescent="0.3"/>
    <row r="78" ht="21" customHeight="1" x14ac:dyDescent="0.3"/>
    <row r="79" ht="21" customHeight="1" x14ac:dyDescent="0.3"/>
    <row r="80" ht="21" customHeight="1" x14ac:dyDescent="0.3"/>
    <row r="81" ht="21" customHeight="1" x14ac:dyDescent="0.3"/>
    <row r="82" ht="21" customHeight="1" x14ac:dyDescent="0.3"/>
    <row r="83" ht="21" customHeight="1" x14ac:dyDescent="0.3"/>
    <row r="84" ht="21" customHeight="1" x14ac:dyDescent="0.3"/>
    <row r="85" ht="21" customHeight="1" x14ac:dyDescent="0.3"/>
    <row r="86" ht="21" customHeight="1" x14ac:dyDescent="0.3"/>
    <row r="87" ht="21" customHeight="1" x14ac:dyDescent="0.3"/>
    <row r="88" ht="21" customHeight="1" x14ac:dyDescent="0.3"/>
    <row r="89" ht="21" customHeight="1" x14ac:dyDescent="0.3"/>
    <row r="90" ht="21" customHeight="1" x14ac:dyDescent="0.3"/>
    <row r="91" ht="21" customHeight="1" x14ac:dyDescent="0.3"/>
    <row r="92" ht="21" customHeight="1" x14ac:dyDescent="0.3"/>
    <row r="93" ht="21" customHeight="1" x14ac:dyDescent="0.3"/>
    <row r="94" ht="21" customHeight="1" x14ac:dyDescent="0.3"/>
    <row r="95" ht="21" customHeight="1" x14ac:dyDescent="0.3"/>
    <row r="96" ht="21" customHeight="1" x14ac:dyDescent="0.3"/>
    <row r="97" ht="21" customHeight="1" x14ac:dyDescent="0.3"/>
    <row r="98" ht="21" customHeight="1" x14ac:dyDescent="0.3"/>
    <row r="99" ht="21" customHeight="1" x14ac:dyDescent="0.3"/>
    <row r="100" ht="21" customHeight="1" x14ac:dyDescent="0.3"/>
    <row r="101" ht="21" customHeight="1" x14ac:dyDescent="0.3"/>
    <row r="102" ht="21" customHeight="1" x14ac:dyDescent="0.3"/>
    <row r="103" ht="21" customHeight="1" x14ac:dyDescent="0.3"/>
    <row r="104" ht="21" customHeight="1" x14ac:dyDescent="0.3"/>
    <row r="105" ht="21" customHeight="1" x14ac:dyDescent="0.3"/>
    <row r="107" ht="27.2" customHeight="1" x14ac:dyDescent="0.3"/>
  </sheetData>
  <autoFilter ref="B5:AU62" xr:uid="{00000000-0009-0000-0000-000002000000}"/>
  <mergeCells count="9">
    <mergeCell ref="B3:AU3"/>
    <mergeCell ref="Y4:AG4"/>
    <mergeCell ref="AT4:AU4"/>
    <mergeCell ref="L4:M4"/>
    <mergeCell ref="B4:K4"/>
    <mergeCell ref="AH4:AK4"/>
    <mergeCell ref="AP4:AS4"/>
    <mergeCell ref="N4:W4"/>
    <mergeCell ref="AL4:AO4"/>
  </mergeCells>
  <phoneticPr fontId="9" type="noConversion"/>
  <conditionalFormatting sqref="B6:L62">
    <cfRule type="expression" dxfId="7" priority="9">
      <formula>OR(LEFT($AQ6,1)="⚠",LEFT($AR6,1)="⚠",LEFT($AS6,1)="⚠")</formula>
    </cfRule>
    <cfRule type="expression" dxfId="6" priority="10">
      <formula>AND(LEFT($AQ6,1)="△",LEFT($AR6,1)&lt;&gt;"⚠",LEFT($AS6,1)&lt;&gt;"⚠")</formula>
    </cfRule>
  </conditionalFormatting>
  <conditionalFormatting sqref="AQ6:AQ62">
    <cfRule type="expression" dxfId="5" priority="11">
      <formula>LEFT($AQ6,1)="⚠"</formula>
    </cfRule>
    <cfRule type="expression" dxfId="4" priority="12">
      <formula>LEFT($AQ6,1)="△"</formula>
    </cfRule>
  </conditionalFormatting>
  <conditionalFormatting sqref="AR6:AR62">
    <cfRule type="expression" dxfId="3" priority="13">
      <formula>LEFT($AR6,1)="⚠"</formula>
    </cfRule>
    <cfRule type="expression" dxfId="2" priority="14">
      <formula>LEFT($AR6,1)="△"</formula>
    </cfRule>
  </conditionalFormatting>
  <conditionalFormatting sqref="AS6:AS62">
    <cfRule type="expression" dxfId="1" priority="15">
      <formula>LEFT($AS6,1)="⚠"</formula>
    </cfRule>
    <cfRule type="expression" dxfId="0" priority="16">
      <formula>LEFT($AS6,1)="△"</formula>
    </cfRule>
  </conditionalFormatting>
  <dataValidations count="2">
    <dataValidation type="decimal" operator="greaterThanOrEqual" allowBlank="1" showErrorMessage="1" errorTitle="숫자 칸" error="숫자만 넣습니다. 모르면 비우고 [추가 필요내용] 에 적어 주세요." sqref="P6:P62 AC6:AC62" xr:uid="{00000000-0002-0000-0200-000000000000}">
      <formula1>0</formula1>
    </dataValidation>
    <dataValidation type="whole" operator="greaterThanOrEqual" allowBlank="1" showErrorMessage="1" errorTitle="숫자 칸" error="숫자만 넣습니다. 모르면 비우고 [추가 필요내용] 에 적어 주세요." sqref="Q6:Q62 AD6:AD62 S6:T62" xr:uid="{00000000-0002-0000-0200-000002000000}">
      <formula1>0</formula1>
    </dataValidation>
  </dataValidations>
  <pageMargins left="0.75" right="0.75" top="1" bottom="1" header="0.5" footer="0.5"/>
  <pageSetup paperSize="9" orientation="portrait" verticalDpi="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ErrorMessage="1" errorTitle="목록 밖 값" error="목록에 있는 값만 넣을 수 있습니다. [04.코드표] 에서 목록을 볼 수 있습니다." xr:uid="{00000000-0002-0000-0200-000006000000}">
          <x14:formula1>
            <xm:f>'04.코드표'!$B$5:$B$8</xm:f>
          </x14:formula1>
          <xm:sqref>R6:R62</xm:sqref>
        </x14:dataValidation>
        <x14:dataValidation type="list" allowBlank="1" showErrorMessage="1" errorTitle="목록 밖 값" error="목록에 있는 값만 넣을 수 있습니다. [04.코드표] 에서 목록을 볼 수 있습니다." xr:uid="{00000000-0002-0000-0200-000007000000}">
          <x14:formula1>
            <xm:f>'04.코드표'!$C$5:$C$9</xm:f>
          </x14:formula1>
          <xm:sqref>Y6:Y62</xm:sqref>
        </x14:dataValidation>
        <x14:dataValidation type="list" allowBlank="1" showErrorMessage="1" errorTitle="목록 밖 값" error="목록에 있는 값만 넣을 수 있습니다. [04.코드표] 에서 목록을 볼 수 있습니다." xr:uid="{00000000-0002-0000-0200-000008000000}">
          <x14:formula1>
            <xm:f>'04.코드표'!$D$5:$D$8</xm:f>
          </x14:formula1>
          <xm:sqref>X6:X62</xm:sqref>
        </x14:dataValidation>
        <x14:dataValidation type="list" allowBlank="1" showErrorMessage="1" errorTitle="목록 밖 값" error="목록에 있는 값만 넣을 수 있습니다. [04.코드표] 에서 목록을 볼 수 있습니다." xr:uid="{00000000-0002-0000-0200-000009000000}">
          <x14:formula1>
            <xm:f>'04.코드표'!$E$5:$E$7</xm:f>
          </x14:formula1>
          <xm:sqref>AL6:AL62</xm:sqref>
        </x14:dataValidation>
        <x14:dataValidation type="list" allowBlank="1" showErrorMessage="1" errorTitle="목록 밖 값" error="목록에 있는 값만 넣을 수 있습니다. [04.코드표] 에서 목록을 볼 수 있습니다." xr:uid="{00000000-0002-0000-0200-00000A000000}">
          <x14:formula1>
            <xm:f>'04.코드표'!$F$5:$F$10</xm:f>
          </x14:formula1>
          <xm:sqref>E6:E62</xm:sqref>
        </x14:dataValidation>
        <x14:dataValidation type="list" allowBlank="1" showErrorMessage="1" errorTitle="목록 밖 값" error="목록에 있는 값만 넣을 수 있습니다. [04.코드표] 에서 목록을 볼 수 있습니다." xr:uid="{00000000-0002-0000-0200-00000B000000}">
          <x14:formula1>
            <xm:f>'04.코드표'!$G$5:$G$9</xm:f>
          </x14:formula1>
          <xm:sqref>N6:N62 AA6:AA62</xm:sqref>
        </x14:dataValidation>
        <x14:dataValidation type="list" allowBlank="1" showErrorMessage="1" errorTitle="목록 밖 값" error="목록에 있는 값만 넣을 수 있습니다. [04.코드표] 에서 목록을 볼 수 있습니다." xr:uid="{00000000-0002-0000-0200-00000D000000}">
          <x14:formula1>
            <xm:f>'04.코드표'!$I$5:$I$24</xm:f>
          </x14:formula1>
          <xm:sqref>W6:W62 AG6:AG62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BC2E6"/>
  </sheetPr>
  <dimension ref="A2:K213"/>
  <sheetViews>
    <sheetView showGridLines="0" zoomScale="90" workbookViewId="0">
      <pane xSplit="2" ySplit="5" topLeftCell="C114" activePane="bottomRight" state="frozen"/>
      <selection pane="topRight"/>
      <selection pane="bottomLeft"/>
      <selection pane="bottomRight"/>
    </sheetView>
  </sheetViews>
  <sheetFormatPr defaultRowHeight="16.5" x14ac:dyDescent="0.3"/>
  <cols>
    <col min="2" max="2" width="5" customWidth="1"/>
    <col min="3" max="3" width="15" customWidth="1"/>
    <col min="4" max="4" width="9" customWidth="1"/>
    <col min="5" max="5" width="22" customWidth="1"/>
    <col min="6" max="6" width="28" customWidth="1"/>
    <col min="7" max="7" width="30" customWidth="1"/>
    <col min="8" max="8" width="34" customWidth="1"/>
    <col min="9" max="9" width="46" customWidth="1"/>
    <col min="10" max="10" width="20" customWidth="1"/>
    <col min="11" max="11" width="30" customWidth="1"/>
  </cols>
  <sheetData>
    <row r="2" spans="1:11" ht="26.1" customHeight="1" x14ac:dyDescent="0.3">
      <c r="B2" s="12" t="s">
        <v>268</v>
      </c>
    </row>
    <row r="3" spans="1:11" ht="62.1" customHeight="1" x14ac:dyDescent="0.3">
      <c r="A3" s="13"/>
      <c r="B3" s="37" t="s">
        <v>269</v>
      </c>
      <c r="C3" s="38"/>
      <c r="D3" s="38"/>
      <c r="E3" s="38"/>
      <c r="F3" s="38"/>
      <c r="G3" s="38"/>
      <c r="H3" s="38"/>
      <c r="I3" s="38"/>
      <c r="J3" s="38"/>
      <c r="K3" s="39"/>
    </row>
    <row r="5" spans="1:11" ht="33.950000000000003" customHeight="1" x14ac:dyDescent="0.3">
      <c r="B5" s="7" t="s">
        <v>78</v>
      </c>
      <c r="C5" s="7" t="s">
        <v>270</v>
      </c>
      <c r="D5" s="7" t="s">
        <v>271</v>
      </c>
      <c r="E5" s="7" t="s">
        <v>272</v>
      </c>
      <c r="F5" s="7" t="s">
        <v>273</v>
      </c>
      <c r="G5" s="7" t="s">
        <v>274</v>
      </c>
      <c r="H5" s="7" t="s">
        <v>275</v>
      </c>
      <c r="I5" s="7" t="s">
        <v>276</v>
      </c>
      <c r="J5" s="7" t="s">
        <v>277</v>
      </c>
      <c r="K5" s="7" t="s">
        <v>278</v>
      </c>
    </row>
    <row r="6" spans="1:11" ht="52.9" customHeight="1" x14ac:dyDescent="0.3">
      <c r="B6" s="29">
        <v>1</v>
      </c>
      <c r="C6" s="11" t="s">
        <v>279</v>
      </c>
      <c r="D6" s="11" t="s">
        <v>120</v>
      </c>
      <c r="E6" s="11" t="s">
        <v>121</v>
      </c>
      <c r="F6" s="11" t="s">
        <v>280</v>
      </c>
      <c r="G6" s="11" t="s">
        <v>281</v>
      </c>
      <c r="H6" s="11" t="s">
        <v>282</v>
      </c>
      <c r="I6" s="11" t="s">
        <v>283</v>
      </c>
      <c r="J6" s="29"/>
      <c r="K6" s="11"/>
    </row>
    <row r="7" spans="1:11" ht="52.9" customHeight="1" x14ac:dyDescent="0.3">
      <c r="B7" s="29">
        <v>2</v>
      </c>
      <c r="C7" s="11" t="s">
        <v>284</v>
      </c>
      <c r="D7" s="11" t="s">
        <v>120</v>
      </c>
      <c r="E7" s="11" t="s">
        <v>121</v>
      </c>
      <c r="F7" s="11" t="s">
        <v>280</v>
      </c>
      <c r="G7" s="11" t="s">
        <v>281</v>
      </c>
      <c r="H7" s="11" t="s">
        <v>285</v>
      </c>
      <c r="I7" s="11" t="s">
        <v>286</v>
      </c>
      <c r="J7" s="29"/>
      <c r="K7" s="11"/>
    </row>
    <row r="8" spans="1:11" ht="115.15" customHeight="1" x14ac:dyDescent="0.3">
      <c r="B8" s="29">
        <v>3</v>
      </c>
      <c r="C8" s="11" t="s">
        <v>287</v>
      </c>
      <c r="D8" s="11" t="s">
        <v>120</v>
      </c>
      <c r="E8" s="11" t="s">
        <v>121</v>
      </c>
      <c r="F8" s="11" t="s">
        <v>280</v>
      </c>
      <c r="G8" s="11" t="s">
        <v>288</v>
      </c>
      <c r="H8" s="11" t="s">
        <v>289</v>
      </c>
      <c r="I8" s="11" t="s">
        <v>290</v>
      </c>
      <c r="J8" s="29"/>
      <c r="K8" s="11"/>
    </row>
    <row r="9" spans="1:11" ht="37.15" customHeight="1" x14ac:dyDescent="0.3">
      <c r="B9" s="29">
        <v>4</v>
      </c>
      <c r="C9" s="11" t="s">
        <v>291</v>
      </c>
      <c r="D9" s="11" t="s">
        <v>120</v>
      </c>
      <c r="E9" s="11" t="s">
        <v>121</v>
      </c>
      <c r="F9" s="11" t="s">
        <v>280</v>
      </c>
      <c r="G9" s="11" t="s">
        <v>292</v>
      </c>
      <c r="H9" s="11" t="s">
        <v>293</v>
      </c>
      <c r="I9" s="11" t="s">
        <v>294</v>
      </c>
      <c r="J9" s="29"/>
      <c r="K9" s="11"/>
    </row>
    <row r="10" spans="1:11" ht="21.6" customHeight="1" x14ac:dyDescent="0.3">
      <c r="B10" s="29">
        <v>5</v>
      </c>
      <c r="C10" s="11" t="s">
        <v>295</v>
      </c>
      <c r="D10" s="11" t="s">
        <v>120</v>
      </c>
      <c r="E10" s="11" t="s">
        <v>121</v>
      </c>
      <c r="F10" s="11" t="s">
        <v>280</v>
      </c>
      <c r="G10" s="11" t="s">
        <v>292</v>
      </c>
      <c r="H10" s="11" t="s">
        <v>296</v>
      </c>
      <c r="I10" s="11" t="s">
        <v>297</v>
      </c>
      <c r="J10" s="29"/>
      <c r="K10" s="11"/>
    </row>
    <row r="11" spans="1:11" ht="21.6" customHeight="1" x14ac:dyDescent="0.3">
      <c r="B11" s="29">
        <v>6</v>
      </c>
      <c r="C11" s="11" t="s">
        <v>298</v>
      </c>
      <c r="D11" s="11" t="s">
        <v>120</v>
      </c>
      <c r="E11" s="11" t="s">
        <v>121</v>
      </c>
      <c r="F11" s="11" t="s">
        <v>280</v>
      </c>
      <c r="G11" s="11" t="s">
        <v>299</v>
      </c>
      <c r="H11" s="11" t="s">
        <v>299</v>
      </c>
      <c r="I11" s="11" t="s">
        <v>300</v>
      </c>
      <c r="J11" s="29"/>
      <c r="K11" s="11"/>
    </row>
    <row r="12" spans="1:11" ht="37.15" customHeight="1" x14ac:dyDescent="0.3">
      <c r="B12" s="29">
        <v>7</v>
      </c>
      <c r="C12" s="11" t="s">
        <v>301</v>
      </c>
      <c r="D12" s="11" t="s">
        <v>120</v>
      </c>
      <c r="E12" s="11" t="s">
        <v>121</v>
      </c>
      <c r="F12" s="11" t="s">
        <v>280</v>
      </c>
      <c r="G12" s="11" t="s">
        <v>302</v>
      </c>
      <c r="H12" s="11" t="s">
        <v>303</v>
      </c>
      <c r="I12" s="11" t="s">
        <v>304</v>
      </c>
      <c r="J12" s="29"/>
      <c r="K12" s="11"/>
    </row>
    <row r="13" spans="1:11" ht="37.15" customHeight="1" x14ac:dyDescent="0.3">
      <c r="B13" s="29">
        <v>8</v>
      </c>
      <c r="C13" s="11" t="s">
        <v>305</v>
      </c>
      <c r="D13" s="11" t="s">
        <v>120</v>
      </c>
      <c r="E13" s="11" t="s">
        <v>121</v>
      </c>
      <c r="F13" s="11" t="s">
        <v>280</v>
      </c>
      <c r="G13" s="11" t="s">
        <v>306</v>
      </c>
      <c r="H13" s="11" t="s">
        <v>307</v>
      </c>
      <c r="I13" s="11" t="s">
        <v>308</v>
      </c>
      <c r="J13" s="29"/>
      <c r="K13" s="11"/>
    </row>
    <row r="14" spans="1:11" ht="37.15" customHeight="1" x14ac:dyDescent="0.3">
      <c r="B14" s="29">
        <v>9</v>
      </c>
      <c r="C14" s="11" t="s">
        <v>309</v>
      </c>
      <c r="D14" s="11" t="s">
        <v>120</v>
      </c>
      <c r="E14" s="11" t="s">
        <v>121</v>
      </c>
      <c r="F14" s="11" t="s">
        <v>280</v>
      </c>
      <c r="G14" s="11" t="s">
        <v>306</v>
      </c>
      <c r="H14" s="11" t="s">
        <v>310</v>
      </c>
      <c r="I14" s="11" t="s">
        <v>311</v>
      </c>
      <c r="J14" s="29"/>
      <c r="K14" s="11"/>
    </row>
    <row r="15" spans="1:11" ht="21.6" customHeight="1" x14ac:dyDescent="0.3">
      <c r="B15" s="29">
        <v>10</v>
      </c>
      <c r="C15" s="11" t="s">
        <v>312</v>
      </c>
      <c r="D15" s="11" t="s">
        <v>120</v>
      </c>
      <c r="E15" s="11" t="s">
        <v>121</v>
      </c>
      <c r="F15" s="11" t="s">
        <v>280</v>
      </c>
      <c r="G15" s="11" t="s">
        <v>313</v>
      </c>
      <c r="H15" s="11" t="s">
        <v>314</v>
      </c>
      <c r="I15" s="11" t="s">
        <v>315</v>
      </c>
      <c r="J15" s="29"/>
      <c r="K15" s="11"/>
    </row>
    <row r="16" spans="1:11" ht="37.15" customHeight="1" x14ac:dyDescent="0.3">
      <c r="B16" s="29">
        <v>11</v>
      </c>
      <c r="C16" s="11" t="s">
        <v>316</v>
      </c>
      <c r="D16" s="11" t="s">
        <v>120</v>
      </c>
      <c r="E16" s="11" t="s">
        <v>121</v>
      </c>
      <c r="F16" s="11" t="s">
        <v>280</v>
      </c>
      <c r="G16" s="11" t="s">
        <v>317</v>
      </c>
      <c r="H16" s="11" t="s">
        <v>318</v>
      </c>
      <c r="I16" s="11" t="s">
        <v>319</v>
      </c>
      <c r="J16" s="29"/>
      <c r="K16" s="11"/>
    </row>
    <row r="17" spans="2:11" ht="37.15" customHeight="1" x14ac:dyDescent="0.3">
      <c r="B17" s="29">
        <v>12</v>
      </c>
      <c r="C17" s="11" t="s">
        <v>320</v>
      </c>
      <c r="D17" s="11" t="s">
        <v>120</v>
      </c>
      <c r="E17" s="11" t="s">
        <v>121</v>
      </c>
      <c r="F17" s="11" t="s">
        <v>280</v>
      </c>
      <c r="G17" s="11" t="s">
        <v>321</v>
      </c>
      <c r="H17" s="11" t="s">
        <v>321</v>
      </c>
      <c r="I17" s="11" t="s">
        <v>322</v>
      </c>
      <c r="J17" s="29"/>
      <c r="K17" s="11"/>
    </row>
    <row r="18" spans="2:11" ht="21.6" customHeight="1" x14ac:dyDescent="0.3">
      <c r="B18" s="29">
        <v>13</v>
      </c>
      <c r="C18" s="11" t="s">
        <v>323</v>
      </c>
      <c r="D18" s="11" t="s">
        <v>120</v>
      </c>
      <c r="E18" s="11" t="s">
        <v>121</v>
      </c>
      <c r="F18" s="11" t="s">
        <v>280</v>
      </c>
      <c r="G18" s="11" t="s">
        <v>324</v>
      </c>
      <c r="H18" s="11" t="s">
        <v>325</v>
      </c>
      <c r="I18" s="11" t="s">
        <v>325</v>
      </c>
      <c r="J18" s="29"/>
      <c r="K18" s="11"/>
    </row>
    <row r="19" spans="2:11" ht="21.6" customHeight="1" x14ac:dyDescent="0.3">
      <c r="B19" s="29">
        <v>14</v>
      </c>
      <c r="C19" s="11" t="s">
        <v>326</v>
      </c>
      <c r="D19" s="11" t="s">
        <v>120</v>
      </c>
      <c r="E19" s="11" t="s">
        <v>121</v>
      </c>
      <c r="F19" s="11" t="s">
        <v>280</v>
      </c>
      <c r="G19" s="11" t="s">
        <v>324</v>
      </c>
      <c r="H19" s="11" t="s">
        <v>327</v>
      </c>
      <c r="I19" s="11" t="s">
        <v>328</v>
      </c>
      <c r="J19" s="29"/>
      <c r="K19" s="11"/>
    </row>
    <row r="20" spans="2:11" ht="37.15" customHeight="1" x14ac:dyDescent="0.3">
      <c r="B20" s="29">
        <v>15</v>
      </c>
      <c r="C20" s="11" t="s">
        <v>329</v>
      </c>
      <c r="D20" s="11" t="s">
        <v>120</v>
      </c>
      <c r="E20" s="11" t="s">
        <v>121</v>
      </c>
      <c r="F20" s="11" t="s">
        <v>280</v>
      </c>
      <c r="G20" s="11" t="s">
        <v>324</v>
      </c>
      <c r="H20" s="11" t="s">
        <v>330</v>
      </c>
      <c r="I20" s="11" t="s">
        <v>331</v>
      </c>
      <c r="J20" s="29"/>
      <c r="K20" s="11"/>
    </row>
    <row r="21" spans="2:11" ht="37.15" customHeight="1" x14ac:dyDescent="0.3">
      <c r="B21" s="29">
        <v>16</v>
      </c>
      <c r="C21" s="11" t="s">
        <v>332</v>
      </c>
      <c r="D21" s="11" t="s">
        <v>120</v>
      </c>
      <c r="E21" s="11" t="s">
        <v>121</v>
      </c>
      <c r="F21" s="11" t="s">
        <v>122</v>
      </c>
      <c r="G21" s="11" t="s">
        <v>333</v>
      </c>
      <c r="H21" s="11" t="s">
        <v>334</v>
      </c>
      <c r="I21" s="11" t="s">
        <v>335</v>
      </c>
      <c r="J21" s="29"/>
      <c r="K21" s="11"/>
    </row>
    <row r="22" spans="2:11" ht="37.15" customHeight="1" x14ac:dyDescent="0.3">
      <c r="B22" s="29">
        <v>17</v>
      </c>
      <c r="C22" s="11" t="s">
        <v>336</v>
      </c>
      <c r="D22" s="11" t="s">
        <v>120</v>
      </c>
      <c r="E22" s="11" t="s">
        <v>121</v>
      </c>
      <c r="F22" s="11" t="s">
        <v>122</v>
      </c>
      <c r="G22" s="11" t="s">
        <v>333</v>
      </c>
      <c r="H22" s="11" t="s">
        <v>337</v>
      </c>
      <c r="I22" s="11" t="s">
        <v>338</v>
      </c>
      <c r="J22" s="29"/>
      <c r="K22" s="11"/>
    </row>
    <row r="23" spans="2:11" ht="37.15" customHeight="1" x14ac:dyDescent="0.3">
      <c r="B23" s="29">
        <v>18</v>
      </c>
      <c r="C23" s="11" t="s">
        <v>339</v>
      </c>
      <c r="D23" s="11" t="s">
        <v>120</v>
      </c>
      <c r="E23" s="11" t="s">
        <v>121</v>
      </c>
      <c r="F23" s="11" t="s">
        <v>122</v>
      </c>
      <c r="G23" s="11" t="s">
        <v>340</v>
      </c>
      <c r="H23" s="11" t="s">
        <v>341</v>
      </c>
      <c r="I23" s="11" t="s">
        <v>342</v>
      </c>
      <c r="J23" s="29"/>
      <c r="K23" s="11"/>
    </row>
    <row r="24" spans="2:11" ht="37.15" customHeight="1" x14ac:dyDescent="0.3">
      <c r="B24" s="29">
        <v>19</v>
      </c>
      <c r="C24" s="11" t="s">
        <v>343</v>
      </c>
      <c r="D24" s="11" t="s">
        <v>120</v>
      </c>
      <c r="E24" s="11" t="s">
        <v>121</v>
      </c>
      <c r="F24" s="11" t="s">
        <v>122</v>
      </c>
      <c r="G24" s="11" t="s">
        <v>340</v>
      </c>
      <c r="H24" s="11" t="s">
        <v>340</v>
      </c>
      <c r="I24" s="11" t="s">
        <v>344</v>
      </c>
      <c r="J24" s="29"/>
      <c r="K24" s="11"/>
    </row>
    <row r="25" spans="2:11" ht="21.6" customHeight="1" x14ac:dyDescent="0.3">
      <c r="B25" s="29">
        <v>20</v>
      </c>
      <c r="C25" s="11" t="s">
        <v>345</v>
      </c>
      <c r="D25" s="11" t="s">
        <v>120</v>
      </c>
      <c r="E25" s="11" t="s">
        <v>121</v>
      </c>
      <c r="F25" s="11" t="s">
        <v>122</v>
      </c>
      <c r="G25" s="11" t="s">
        <v>340</v>
      </c>
      <c r="H25" s="11" t="s">
        <v>346</v>
      </c>
      <c r="I25" s="11" t="s">
        <v>346</v>
      </c>
      <c r="J25" s="29"/>
      <c r="K25" s="11"/>
    </row>
    <row r="26" spans="2:11" ht="21.6" customHeight="1" x14ac:dyDescent="0.3">
      <c r="B26" s="29">
        <v>21</v>
      </c>
      <c r="C26" s="11" t="s">
        <v>347</v>
      </c>
      <c r="D26" s="11" t="s">
        <v>120</v>
      </c>
      <c r="E26" s="11" t="s">
        <v>121</v>
      </c>
      <c r="F26" s="11" t="s">
        <v>122</v>
      </c>
      <c r="G26" s="11" t="s">
        <v>348</v>
      </c>
      <c r="H26" s="11" t="s">
        <v>348</v>
      </c>
      <c r="I26" s="11" t="s">
        <v>349</v>
      </c>
      <c r="J26" s="29"/>
      <c r="K26" s="11"/>
    </row>
    <row r="27" spans="2:11" ht="21.6" customHeight="1" x14ac:dyDescent="0.3">
      <c r="B27" s="29">
        <v>22</v>
      </c>
      <c r="C27" s="11" t="s">
        <v>350</v>
      </c>
      <c r="D27" s="11" t="s">
        <v>120</v>
      </c>
      <c r="E27" s="11" t="s">
        <v>121</v>
      </c>
      <c r="F27" s="11" t="s">
        <v>122</v>
      </c>
      <c r="G27" s="11" t="s">
        <v>351</v>
      </c>
      <c r="H27" s="11" t="s">
        <v>352</v>
      </c>
      <c r="I27" s="11" t="s">
        <v>353</v>
      </c>
      <c r="J27" s="29"/>
      <c r="K27" s="11"/>
    </row>
    <row r="28" spans="2:11" ht="37.15" customHeight="1" x14ac:dyDescent="0.3">
      <c r="B28" s="29">
        <v>23</v>
      </c>
      <c r="C28" s="11" t="s">
        <v>118</v>
      </c>
      <c r="D28" s="11" t="s">
        <v>120</v>
      </c>
      <c r="E28" s="11" t="s">
        <v>121</v>
      </c>
      <c r="F28" s="11" t="s">
        <v>122</v>
      </c>
      <c r="G28" s="11" t="s">
        <v>123</v>
      </c>
      <c r="H28" s="11" t="s">
        <v>124</v>
      </c>
      <c r="I28" s="11" t="s">
        <v>354</v>
      </c>
      <c r="J28" s="29" t="s">
        <v>355</v>
      </c>
      <c r="K28" s="11"/>
    </row>
    <row r="29" spans="2:11" ht="37.15" customHeight="1" x14ac:dyDescent="0.3">
      <c r="B29" s="29">
        <v>24</v>
      </c>
      <c r="C29" s="11" t="s">
        <v>356</v>
      </c>
      <c r="D29" s="11" t="s">
        <v>120</v>
      </c>
      <c r="E29" s="11" t="s">
        <v>121</v>
      </c>
      <c r="F29" s="11" t="s">
        <v>122</v>
      </c>
      <c r="G29" s="11" t="s">
        <v>357</v>
      </c>
      <c r="H29" s="11" t="s">
        <v>358</v>
      </c>
      <c r="I29" s="11" t="s">
        <v>359</v>
      </c>
      <c r="J29" s="29"/>
      <c r="K29" s="11"/>
    </row>
    <row r="30" spans="2:11" ht="21.6" customHeight="1" x14ac:dyDescent="0.3">
      <c r="B30" s="29">
        <v>25</v>
      </c>
      <c r="C30" s="11" t="s">
        <v>360</v>
      </c>
      <c r="D30" s="11" t="s">
        <v>120</v>
      </c>
      <c r="E30" s="11" t="s">
        <v>121</v>
      </c>
      <c r="F30" s="11" t="s">
        <v>122</v>
      </c>
      <c r="G30" s="11" t="s">
        <v>361</v>
      </c>
      <c r="H30" s="11" t="s">
        <v>362</v>
      </c>
      <c r="I30" s="11" t="s">
        <v>363</v>
      </c>
      <c r="J30" s="29"/>
      <c r="K30" s="11"/>
    </row>
    <row r="31" spans="2:11" ht="21.6" customHeight="1" x14ac:dyDescent="0.3">
      <c r="B31" s="29">
        <v>26</v>
      </c>
      <c r="C31" s="11" t="s">
        <v>364</v>
      </c>
      <c r="D31" s="11" t="s">
        <v>120</v>
      </c>
      <c r="E31" s="11" t="s">
        <v>121</v>
      </c>
      <c r="F31" s="11" t="s">
        <v>122</v>
      </c>
      <c r="G31" s="11" t="s">
        <v>361</v>
      </c>
      <c r="H31" s="11" t="s">
        <v>365</v>
      </c>
      <c r="I31" s="11" t="s">
        <v>366</v>
      </c>
      <c r="J31" s="29"/>
      <c r="K31" s="11"/>
    </row>
    <row r="32" spans="2:11" ht="21.6" customHeight="1" x14ac:dyDescent="0.3">
      <c r="B32" s="29">
        <v>27</v>
      </c>
      <c r="C32" s="11" t="s">
        <v>367</v>
      </c>
      <c r="D32" s="11" t="s">
        <v>120</v>
      </c>
      <c r="E32" s="11" t="s">
        <v>121</v>
      </c>
      <c r="F32" s="11" t="s">
        <v>122</v>
      </c>
      <c r="G32" s="11" t="s">
        <v>361</v>
      </c>
      <c r="H32" s="11" t="s">
        <v>368</v>
      </c>
      <c r="I32" s="11" t="s">
        <v>368</v>
      </c>
      <c r="J32" s="29"/>
      <c r="K32" s="11"/>
    </row>
    <row r="33" spans="2:11" ht="21.6" customHeight="1" x14ac:dyDescent="0.3">
      <c r="B33" s="29">
        <v>28</v>
      </c>
      <c r="C33" s="11" t="s">
        <v>154</v>
      </c>
      <c r="D33" s="11" t="s">
        <v>120</v>
      </c>
      <c r="E33" s="11" t="s">
        <v>121</v>
      </c>
      <c r="F33" s="11" t="s">
        <v>122</v>
      </c>
      <c r="G33" s="11" t="s">
        <v>155</v>
      </c>
      <c r="H33" s="11" t="s">
        <v>156</v>
      </c>
      <c r="I33" s="11" t="s">
        <v>369</v>
      </c>
      <c r="J33" s="29" t="s">
        <v>370</v>
      </c>
      <c r="K33" s="11"/>
    </row>
    <row r="34" spans="2:11" ht="37.15" customHeight="1" x14ac:dyDescent="0.3">
      <c r="B34" s="29">
        <v>29</v>
      </c>
      <c r="C34" s="11" t="s">
        <v>371</v>
      </c>
      <c r="D34" s="11" t="s">
        <v>120</v>
      </c>
      <c r="E34" s="11" t="s">
        <v>121</v>
      </c>
      <c r="F34" s="11" t="s">
        <v>122</v>
      </c>
      <c r="G34" s="11" t="s">
        <v>372</v>
      </c>
      <c r="H34" s="11" t="s">
        <v>373</v>
      </c>
      <c r="I34" s="11" t="s">
        <v>374</v>
      </c>
      <c r="J34" s="29"/>
      <c r="K34" s="11"/>
    </row>
    <row r="35" spans="2:11" ht="21.6" customHeight="1" x14ac:dyDescent="0.3">
      <c r="B35" s="29">
        <v>30</v>
      </c>
      <c r="C35" s="11" t="s">
        <v>157</v>
      </c>
      <c r="D35" s="11" t="s">
        <v>120</v>
      </c>
      <c r="E35" s="11" t="s">
        <v>121</v>
      </c>
      <c r="F35" s="11" t="s">
        <v>122</v>
      </c>
      <c r="G35" s="11" t="s">
        <v>158</v>
      </c>
      <c r="H35" s="11" t="s">
        <v>158</v>
      </c>
      <c r="I35" s="11" t="s">
        <v>375</v>
      </c>
      <c r="J35" s="29" t="s">
        <v>370</v>
      </c>
      <c r="K35" s="11"/>
    </row>
    <row r="36" spans="2:11" ht="37.15" customHeight="1" x14ac:dyDescent="0.3">
      <c r="B36" s="29">
        <v>31</v>
      </c>
      <c r="C36" s="11" t="s">
        <v>376</v>
      </c>
      <c r="D36" s="11" t="s">
        <v>120</v>
      </c>
      <c r="E36" s="11" t="s">
        <v>121</v>
      </c>
      <c r="F36" s="11" t="s">
        <v>122</v>
      </c>
      <c r="G36" s="11" t="s">
        <v>377</v>
      </c>
      <c r="H36" s="11" t="s">
        <v>378</v>
      </c>
      <c r="I36" s="11" t="s">
        <v>379</v>
      </c>
      <c r="J36" s="29"/>
      <c r="K36" s="11"/>
    </row>
    <row r="37" spans="2:11" ht="21.6" customHeight="1" x14ac:dyDescent="0.3">
      <c r="B37" s="29">
        <v>32</v>
      </c>
      <c r="C37" s="11" t="s">
        <v>380</v>
      </c>
      <c r="D37" s="11" t="s">
        <v>120</v>
      </c>
      <c r="E37" s="11" t="s">
        <v>121</v>
      </c>
      <c r="F37" s="11" t="s">
        <v>160</v>
      </c>
      <c r="G37" s="11" t="s">
        <v>381</v>
      </c>
      <c r="H37" s="11" t="s">
        <v>381</v>
      </c>
      <c r="I37" s="11" t="s">
        <v>381</v>
      </c>
      <c r="J37" s="29"/>
      <c r="K37" s="11"/>
    </row>
    <row r="38" spans="2:11" ht="21.6" customHeight="1" x14ac:dyDescent="0.3">
      <c r="B38" s="29">
        <v>33</v>
      </c>
      <c r="C38" s="11" t="s">
        <v>382</v>
      </c>
      <c r="D38" s="11" t="s">
        <v>120</v>
      </c>
      <c r="E38" s="11" t="s">
        <v>121</v>
      </c>
      <c r="F38" s="11" t="s">
        <v>160</v>
      </c>
      <c r="G38" s="11" t="s">
        <v>383</v>
      </c>
      <c r="H38" s="11" t="s">
        <v>383</v>
      </c>
      <c r="I38" s="11" t="s">
        <v>383</v>
      </c>
      <c r="J38" s="29"/>
      <c r="K38" s="11"/>
    </row>
    <row r="39" spans="2:11" ht="21.6" customHeight="1" x14ac:dyDescent="0.3">
      <c r="B39" s="29">
        <v>34</v>
      </c>
      <c r="C39" s="11" t="s">
        <v>384</v>
      </c>
      <c r="D39" s="11" t="s">
        <v>120</v>
      </c>
      <c r="E39" s="11" t="s">
        <v>121</v>
      </c>
      <c r="F39" s="11" t="s">
        <v>160</v>
      </c>
      <c r="G39" s="11" t="s">
        <v>385</v>
      </c>
      <c r="H39" s="11" t="s">
        <v>385</v>
      </c>
      <c r="I39" s="11" t="s">
        <v>385</v>
      </c>
      <c r="J39" s="29"/>
      <c r="K39" s="11"/>
    </row>
    <row r="40" spans="2:11" ht="21.6" customHeight="1" x14ac:dyDescent="0.3">
      <c r="B40" s="29">
        <v>35</v>
      </c>
      <c r="C40" s="11" t="s">
        <v>159</v>
      </c>
      <c r="D40" s="11" t="s">
        <v>120</v>
      </c>
      <c r="E40" s="11" t="s">
        <v>121</v>
      </c>
      <c r="F40" s="11" t="s">
        <v>160</v>
      </c>
      <c r="G40" s="11" t="s">
        <v>161</v>
      </c>
      <c r="H40" s="11" t="s">
        <v>161</v>
      </c>
      <c r="I40" s="11" t="s">
        <v>161</v>
      </c>
      <c r="J40" s="29" t="s">
        <v>355</v>
      </c>
      <c r="K40" s="11"/>
    </row>
    <row r="41" spans="2:11" ht="37.15" customHeight="1" x14ac:dyDescent="0.3">
      <c r="B41" s="29">
        <v>36</v>
      </c>
      <c r="C41" s="11" t="s">
        <v>182</v>
      </c>
      <c r="D41" s="11" t="s">
        <v>120</v>
      </c>
      <c r="E41" s="11" t="s">
        <v>121</v>
      </c>
      <c r="F41" s="11" t="s">
        <v>160</v>
      </c>
      <c r="G41" s="11" t="s">
        <v>183</v>
      </c>
      <c r="H41" s="11" t="s">
        <v>184</v>
      </c>
      <c r="I41" s="11" t="s">
        <v>386</v>
      </c>
      <c r="J41" s="29" t="s">
        <v>355</v>
      </c>
      <c r="K41" s="11"/>
    </row>
    <row r="42" spans="2:11" ht="21.6" customHeight="1" x14ac:dyDescent="0.3">
      <c r="B42" s="29">
        <v>37</v>
      </c>
      <c r="C42" s="11" t="s">
        <v>387</v>
      </c>
      <c r="D42" s="11" t="s">
        <v>120</v>
      </c>
      <c r="E42" s="11" t="s">
        <v>121</v>
      </c>
      <c r="F42" s="11" t="s">
        <v>160</v>
      </c>
      <c r="G42" s="11" t="s">
        <v>388</v>
      </c>
      <c r="H42" s="11" t="s">
        <v>388</v>
      </c>
      <c r="I42" s="11" t="s">
        <v>388</v>
      </c>
      <c r="J42" s="29"/>
      <c r="K42" s="11"/>
    </row>
    <row r="43" spans="2:11" ht="21.6" customHeight="1" x14ac:dyDescent="0.3">
      <c r="B43" s="29">
        <v>38</v>
      </c>
      <c r="C43" s="11" t="s">
        <v>389</v>
      </c>
      <c r="D43" s="11" t="s">
        <v>120</v>
      </c>
      <c r="E43" s="11" t="s">
        <v>121</v>
      </c>
      <c r="F43" s="11" t="s">
        <v>160</v>
      </c>
      <c r="G43" s="11" t="s">
        <v>390</v>
      </c>
      <c r="H43" s="11" t="s">
        <v>390</v>
      </c>
      <c r="I43" s="11" t="s">
        <v>390</v>
      </c>
      <c r="J43" s="29"/>
      <c r="K43" s="11"/>
    </row>
    <row r="44" spans="2:11" ht="21.6" customHeight="1" x14ac:dyDescent="0.3">
      <c r="B44" s="29">
        <v>39</v>
      </c>
      <c r="C44" s="11" t="s">
        <v>391</v>
      </c>
      <c r="D44" s="11" t="s">
        <v>120</v>
      </c>
      <c r="E44" s="11" t="s">
        <v>121</v>
      </c>
      <c r="F44" s="11" t="s">
        <v>160</v>
      </c>
      <c r="G44" s="11" t="s">
        <v>392</v>
      </c>
      <c r="H44" s="11" t="s">
        <v>392</v>
      </c>
      <c r="I44" s="11" t="s">
        <v>392</v>
      </c>
      <c r="J44" s="29"/>
      <c r="K44" s="11"/>
    </row>
    <row r="45" spans="2:11" ht="21.6" customHeight="1" x14ac:dyDescent="0.3">
      <c r="B45" s="29">
        <v>40</v>
      </c>
      <c r="C45" s="11" t="s">
        <v>393</v>
      </c>
      <c r="D45" s="11" t="s">
        <v>120</v>
      </c>
      <c r="E45" s="11" t="s">
        <v>121</v>
      </c>
      <c r="F45" s="11" t="s">
        <v>160</v>
      </c>
      <c r="G45" s="11" t="s">
        <v>394</v>
      </c>
      <c r="H45" s="11" t="s">
        <v>394</v>
      </c>
      <c r="I45" s="11" t="s">
        <v>394</v>
      </c>
      <c r="J45" s="29"/>
      <c r="K45" s="11"/>
    </row>
    <row r="46" spans="2:11" ht="37.15" customHeight="1" x14ac:dyDescent="0.3">
      <c r="B46" s="29">
        <v>41</v>
      </c>
      <c r="C46" s="11" t="s">
        <v>395</v>
      </c>
      <c r="D46" s="11" t="s">
        <v>120</v>
      </c>
      <c r="E46" s="11" t="s">
        <v>121</v>
      </c>
      <c r="F46" s="11" t="s">
        <v>160</v>
      </c>
      <c r="G46" s="11" t="s">
        <v>396</v>
      </c>
      <c r="H46" s="11" t="s">
        <v>397</v>
      </c>
      <c r="I46" s="11" t="s">
        <v>398</v>
      </c>
      <c r="J46" s="29"/>
      <c r="K46" s="11"/>
    </row>
    <row r="47" spans="2:11" ht="37.15" customHeight="1" x14ac:dyDescent="0.3">
      <c r="B47" s="29">
        <v>42</v>
      </c>
      <c r="C47" s="11" t="s">
        <v>399</v>
      </c>
      <c r="D47" s="11" t="s">
        <v>120</v>
      </c>
      <c r="E47" s="11" t="s">
        <v>121</v>
      </c>
      <c r="F47" s="11" t="s">
        <v>160</v>
      </c>
      <c r="G47" s="11" t="s">
        <v>396</v>
      </c>
      <c r="H47" s="11" t="s">
        <v>400</v>
      </c>
      <c r="I47" s="11" t="s">
        <v>401</v>
      </c>
      <c r="J47" s="29"/>
      <c r="K47" s="11"/>
    </row>
    <row r="48" spans="2:11" ht="21.6" customHeight="1" x14ac:dyDescent="0.3">
      <c r="B48" s="29">
        <v>43</v>
      </c>
      <c r="C48" s="11" t="s">
        <v>402</v>
      </c>
      <c r="D48" s="11" t="s">
        <v>120</v>
      </c>
      <c r="E48" s="11" t="s">
        <v>121</v>
      </c>
      <c r="F48" s="11" t="s">
        <v>160</v>
      </c>
      <c r="G48" s="11" t="s">
        <v>403</v>
      </c>
      <c r="H48" s="11" t="s">
        <v>403</v>
      </c>
      <c r="I48" s="11" t="s">
        <v>403</v>
      </c>
      <c r="J48" s="29"/>
      <c r="K48" s="11"/>
    </row>
    <row r="49" spans="2:11" ht="21.6" customHeight="1" x14ac:dyDescent="0.3">
      <c r="B49" s="29">
        <v>44</v>
      </c>
      <c r="C49" s="11" t="s">
        <v>210</v>
      </c>
      <c r="D49" s="11" t="s">
        <v>120</v>
      </c>
      <c r="E49" s="11" t="s">
        <v>121</v>
      </c>
      <c r="F49" s="11" t="s">
        <v>160</v>
      </c>
      <c r="G49" s="11" t="s">
        <v>211</v>
      </c>
      <c r="H49" s="11" t="s">
        <v>211</v>
      </c>
      <c r="I49" s="11" t="s">
        <v>211</v>
      </c>
      <c r="J49" s="29" t="s">
        <v>370</v>
      </c>
      <c r="K49" s="11"/>
    </row>
    <row r="50" spans="2:11" ht="21.6" customHeight="1" x14ac:dyDescent="0.3">
      <c r="B50" s="29">
        <v>45</v>
      </c>
      <c r="C50" s="11" t="s">
        <v>404</v>
      </c>
      <c r="D50" s="11" t="s">
        <v>120</v>
      </c>
      <c r="E50" s="11" t="s">
        <v>121</v>
      </c>
      <c r="F50" s="11" t="s">
        <v>160</v>
      </c>
      <c r="G50" s="11" t="s">
        <v>405</v>
      </c>
      <c r="H50" s="11" t="s">
        <v>405</v>
      </c>
      <c r="I50" s="11" t="s">
        <v>405</v>
      </c>
      <c r="J50" s="29"/>
      <c r="K50" s="11"/>
    </row>
    <row r="51" spans="2:11" ht="21.6" customHeight="1" x14ac:dyDescent="0.3">
      <c r="B51" s="29">
        <v>46</v>
      </c>
      <c r="C51" s="11" t="s">
        <v>406</v>
      </c>
      <c r="D51" s="11" t="s">
        <v>120</v>
      </c>
      <c r="E51" s="11" t="s">
        <v>121</v>
      </c>
      <c r="F51" s="11" t="s">
        <v>160</v>
      </c>
      <c r="G51" s="11" t="s">
        <v>407</v>
      </c>
      <c r="H51" s="11" t="s">
        <v>407</v>
      </c>
      <c r="I51" s="11" t="s">
        <v>407</v>
      </c>
      <c r="J51" s="29"/>
      <c r="K51" s="11"/>
    </row>
    <row r="52" spans="2:11" ht="21.6" customHeight="1" x14ac:dyDescent="0.3">
      <c r="B52" s="29">
        <v>47</v>
      </c>
      <c r="C52" s="11" t="s">
        <v>408</v>
      </c>
      <c r="D52" s="11" t="s">
        <v>120</v>
      </c>
      <c r="E52" s="11" t="s">
        <v>121</v>
      </c>
      <c r="F52" s="11" t="s">
        <v>160</v>
      </c>
      <c r="G52" s="11" t="s">
        <v>409</v>
      </c>
      <c r="H52" s="11" t="s">
        <v>409</v>
      </c>
      <c r="I52" s="11" t="s">
        <v>409</v>
      </c>
      <c r="J52" s="29"/>
      <c r="K52" s="11"/>
    </row>
    <row r="53" spans="2:11" ht="21.6" customHeight="1" x14ac:dyDescent="0.3">
      <c r="B53" s="29">
        <v>48</v>
      </c>
      <c r="C53" s="11" t="s">
        <v>410</v>
      </c>
      <c r="D53" s="11" t="s">
        <v>120</v>
      </c>
      <c r="E53" s="11" t="s">
        <v>121</v>
      </c>
      <c r="F53" s="11" t="s">
        <v>160</v>
      </c>
      <c r="G53" s="11" t="s">
        <v>411</v>
      </c>
      <c r="H53" s="11" t="s">
        <v>411</v>
      </c>
      <c r="I53" s="11" t="s">
        <v>411</v>
      </c>
      <c r="J53" s="29"/>
      <c r="K53" s="11"/>
    </row>
    <row r="54" spans="2:11" ht="37.15" customHeight="1" x14ac:dyDescent="0.3">
      <c r="B54" s="29">
        <v>49</v>
      </c>
      <c r="C54" s="11" t="s">
        <v>412</v>
      </c>
      <c r="D54" s="11" t="s">
        <v>120</v>
      </c>
      <c r="E54" s="11" t="s">
        <v>121</v>
      </c>
      <c r="F54" s="11" t="s">
        <v>160</v>
      </c>
      <c r="G54" s="11" t="s">
        <v>413</v>
      </c>
      <c r="H54" s="11" t="s">
        <v>414</v>
      </c>
      <c r="I54" s="11" t="s">
        <v>414</v>
      </c>
      <c r="J54" s="29"/>
      <c r="K54" s="11"/>
    </row>
    <row r="55" spans="2:11" ht="21.6" customHeight="1" x14ac:dyDescent="0.3">
      <c r="B55" s="29">
        <v>50</v>
      </c>
      <c r="C55" s="11" t="s">
        <v>212</v>
      </c>
      <c r="D55" s="11" t="s">
        <v>120</v>
      </c>
      <c r="E55" s="11" t="s">
        <v>121</v>
      </c>
      <c r="F55" s="11" t="s">
        <v>160</v>
      </c>
      <c r="G55" s="11" t="s">
        <v>213</v>
      </c>
      <c r="H55" s="11" t="s">
        <v>214</v>
      </c>
      <c r="I55" s="11" t="s">
        <v>415</v>
      </c>
      <c r="J55" s="29" t="s">
        <v>370</v>
      </c>
      <c r="K55" s="11"/>
    </row>
    <row r="56" spans="2:11" ht="37.15" customHeight="1" x14ac:dyDescent="0.3">
      <c r="B56" s="30">
        <v>51</v>
      </c>
      <c r="C56" s="31" t="s">
        <v>215</v>
      </c>
      <c r="D56" s="32" t="s">
        <v>120</v>
      </c>
      <c r="E56" s="32" t="s">
        <v>121</v>
      </c>
      <c r="F56" s="32" t="s">
        <v>160</v>
      </c>
      <c r="G56" s="32" t="s">
        <v>216</v>
      </c>
      <c r="H56" s="31" t="s">
        <v>217</v>
      </c>
      <c r="I56" s="32" t="s">
        <v>416</v>
      </c>
      <c r="J56" s="33" t="s">
        <v>355</v>
      </c>
      <c r="K56" s="32"/>
    </row>
    <row r="57" spans="2:11" ht="37.15" customHeight="1" x14ac:dyDescent="0.3">
      <c r="B57" s="30">
        <v>52</v>
      </c>
      <c r="C57" s="31" t="s">
        <v>238</v>
      </c>
      <c r="D57" s="32" t="s">
        <v>120</v>
      </c>
      <c r="E57" s="32" t="s">
        <v>121</v>
      </c>
      <c r="F57" s="32" t="s">
        <v>160</v>
      </c>
      <c r="G57" s="32" t="s">
        <v>216</v>
      </c>
      <c r="H57" s="31" t="s">
        <v>239</v>
      </c>
      <c r="I57" s="32" t="s">
        <v>417</v>
      </c>
      <c r="J57" s="33" t="s">
        <v>370</v>
      </c>
      <c r="K57" s="32"/>
    </row>
    <row r="58" spans="2:11" ht="52.9" customHeight="1" x14ac:dyDescent="0.3">
      <c r="B58" s="30">
        <v>53</v>
      </c>
      <c r="C58" s="31" t="s">
        <v>240</v>
      </c>
      <c r="D58" s="32" t="s">
        <v>120</v>
      </c>
      <c r="E58" s="32" t="s">
        <v>121</v>
      </c>
      <c r="F58" s="32" t="s">
        <v>160</v>
      </c>
      <c r="G58" s="32" t="s">
        <v>216</v>
      </c>
      <c r="H58" s="31" t="s">
        <v>241</v>
      </c>
      <c r="I58" s="32" t="s">
        <v>418</v>
      </c>
      <c r="J58" s="33" t="s">
        <v>355</v>
      </c>
      <c r="K58" s="32"/>
    </row>
    <row r="59" spans="2:11" ht="68.45" customHeight="1" x14ac:dyDescent="0.3">
      <c r="B59" s="29">
        <v>54</v>
      </c>
      <c r="C59" s="11" t="s">
        <v>419</v>
      </c>
      <c r="D59" s="11" t="s">
        <v>120</v>
      </c>
      <c r="E59" s="11" t="s">
        <v>121</v>
      </c>
      <c r="F59" s="11" t="s">
        <v>160</v>
      </c>
      <c r="G59" s="11" t="s">
        <v>420</v>
      </c>
      <c r="H59" s="11" t="s">
        <v>421</v>
      </c>
      <c r="I59" s="11" t="s">
        <v>422</v>
      </c>
      <c r="J59" s="29"/>
      <c r="K59" s="11"/>
    </row>
    <row r="60" spans="2:11" ht="37.15" customHeight="1" x14ac:dyDescent="0.3">
      <c r="B60" s="29">
        <v>55</v>
      </c>
      <c r="C60" s="11" t="s">
        <v>423</v>
      </c>
      <c r="D60" s="11" t="s">
        <v>120</v>
      </c>
      <c r="E60" s="11" t="s">
        <v>121</v>
      </c>
      <c r="F60" s="11" t="s">
        <v>160</v>
      </c>
      <c r="G60" s="11" t="s">
        <v>424</v>
      </c>
      <c r="H60" s="11" t="s">
        <v>425</v>
      </c>
      <c r="I60" s="11" t="s">
        <v>426</v>
      </c>
      <c r="J60" s="29"/>
      <c r="K60" s="11"/>
    </row>
    <row r="61" spans="2:11" ht="52.9" customHeight="1" x14ac:dyDescent="0.3">
      <c r="B61" s="29">
        <v>56</v>
      </c>
      <c r="C61" s="11" t="s">
        <v>427</v>
      </c>
      <c r="D61" s="11" t="s">
        <v>120</v>
      </c>
      <c r="E61" s="11" t="s">
        <v>428</v>
      </c>
      <c r="F61" s="11" t="s">
        <v>429</v>
      </c>
      <c r="G61" s="11" t="s">
        <v>430</v>
      </c>
      <c r="H61" s="11" t="s">
        <v>430</v>
      </c>
      <c r="I61" s="11" t="s">
        <v>431</v>
      </c>
      <c r="J61" s="29"/>
      <c r="K61" s="11"/>
    </row>
    <row r="62" spans="2:11" ht="21.6" customHeight="1" x14ac:dyDescent="0.3">
      <c r="B62" s="29">
        <v>57</v>
      </c>
      <c r="C62" s="11" t="s">
        <v>432</v>
      </c>
      <c r="D62" s="11" t="s">
        <v>120</v>
      </c>
      <c r="E62" s="11" t="s">
        <v>428</v>
      </c>
      <c r="F62" s="11" t="s">
        <v>429</v>
      </c>
      <c r="G62" s="11" t="s">
        <v>433</v>
      </c>
      <c r="H62" s="11" t="s">
        <v>433</v>
      </c>
      <c r="I62" s="11" t="s">
        <v>433</v>
      </c>
      <c r="J62" s="29"/>
      <c r="K62" s="11"/>
    </row>
    <row r="63" spans="2:11" ht="21.6" customHeight="1" x14ac:dyDescent="0.3">
      <c r="B63" s="29">
        <v>58</v>
      </c>
      <c r="C63" s="11" t="s">
        <v>434</v>
      </c>
      <c r="D63" s="11" t="s">
        <v>120</v>
      </c>
      <c r="E63" s="11" t="s">
        <v>428</v>
      </c>
      <c r="F63" s="11" t="s">
        <v>429</v>
      </c>
      <c r="G63" s="11" t="s">
        <v>435</v>
      </c>
      <c r="H63" s="11" t="s">
        <v>435</v>
      </c>
      <c r="I63" s="11" t="s">
        <v>435</v>
      </c>
      <c r="J63" s="29"/>
      <c r="K63" s="11"/>
    </row>
    <row r="64" spans="2:11" ht="21.6" customHeight="1" x14ac:dyDescent="0.3">
      <c r="B64" s="29">
        <v>59</v>
      </c>
      <c r="C64" s="11" t="s">
        <v>436</v>
      </c>
      <c r="D64" s="11" t="s">
        <v>120</v>
      </c>
      <c r="E64" s="11" t="s">
        <v>428</v>
      </c>
      <c r="F64" s="11" t="s">
        <v>429</v>
      </c>
      <c r="G64" s="11" t="s">
        <v>437</v>
      </c>
      <c r="H64" s="11" t="s">
        <v>437</v>
      </c>
      <c r="I64" s="11" t="s">
        <v>437</v>
      </c>
      <c r="J64" s="29"/>
      <c r="K64" s="11"/>
    </row>
    <row r="65" spans="2:11" ht="37.15" customHeight="1" x14ac:dyDescent="0.3">
      <c r="B65" s="29">
        <v>60</v>
      </c>
      <c r="C65" s="11" t="s">
        <v>438</v>
      </c>
      <c r="D65" s="11" t="s">
        <v>120</v>
      </c>
      <c r="E65" s="11" t="s">
        <v>428</v>
      </c>
      <c r="F65" s="11" t="s">
        <v>429</v>
      </c>
      <c r="G65" s="11" t="s">
        <v>439</v>
      </c>
      <c r="H65" s="11" t="s">
        <v>439</v>
      </c>
      <c r="I65" s="11" t="s">
        <v>440</v>
      </c>
      <c r="J65" s="29"/>
      <c r="K65" s="11"/>
    </row>
    <row r="66" spans="2:11" ht="37.15" customHeight="1" x14ac:dyDescent="0.3">
      <c r="B66" s="29">
        <v>61</v>
      </c>
      <c r="C66" s="11" t="s">
        <v>441</v>
      </c>
      <c r="D66" s="11" t="s">
        <v>120</v>
      </c>
      <c r="E66" s="11" t="s">
        <v>428</v>
      </c>
      <c r="F66" s="11" t="s">
        <v>429</v>
      </c>
      <c r="G66" s="11" t="s">
        <v>442</v>
      </c>
      <c r="H66" s="11" t="s">
        <v>443</v>
      </c>
      <c r="I66" s="11" t="s">
        <v>444</v>
      </c>
      <c r="J66" s="29"/>
      <c r="K66" s="11"/>
    </row>
    <row r="67" spans="2:11" ht="37.15" customHeight="1" x14ac:dyDescent="0.3">
      <c r="B67" s="29">
        <v>62</v>
      </c>
      <c r="C67" s="11" t="s">
        <v>445</v>
      </c>
      <c r="D67" s="11" t="s">
        <v>120</v>
      </c>
      <c r="E67" s="11" t="s">
        <v>428</v>
      </c>
      <c r="F67" s="11" t="s">
        <v>446</v>
      </c>
      <c r="G67" s="11" t="s">
        <v>447</v>
      </c>
      <c r="H67" s="11" t="s">
        <v>447</v>
      </c>
      <c r="I67" s="11" t="s">
        <v>448</v>
      </c>
      <c r="J67" s="29"/>
      <c r="K67" s="11"/>
    </row>
    <row r="68" spans="2:11" ht="21.6" customHeight="1" x14ac:dyDescent="0.3">
      <c r="B68" s="29">
        <v>63</v>
      </c>
      <c r="C68" s="11" t="s">
        <v>449</v>
      </c>
      <c r="D68" s="11" t="s">
        <v>120</v>
      </c>
      <c r="E68" s="11" t="s">
        <v>428</v>
      </c>
      <c r="F68" s="11" t="s">
        <v>446</v>
      </c>
      <c r="G68" s="11" t="s">
        <v>433</v>
      </c>
      <c r="H68" s="11" t="s">
        <v>433</v>
      </c>
      <c r="I68" s="11" t="s">
        <v>433</v>
      </c>
      <c r="J68" s="29"/>
      <c r="K68" s="11"/>
    </row>
    <row r="69" spans="2:11" ht="21.6" customHeight="1" x14ac:dyDescent="0.3">
      <c r="B69" s="29">
        <v>64</v>
      </c>
      <c r="C69" s="11" t="s">
        <v>450</v>
      </c>
      <c r="D69" s="11" t="s">
        <v>120</v>
      </c>
      <c r="E69" s="11" t="s">
        <v>428</v>
      </c>
      <c r="F69" s="11" t="s">
        <v>446</v>
      </c>
      <c r="G69" s="11" t="s">
        <v>435</v>
      </c>
      <c r="H69" s="11" t="s">
        <v>435</v>
      </c>
      <c r="I69" s="11" t="s">
        <v>435</v>
      </c>
      <c r="J69" s="29"/>
      <c r="K69" s="11"/>
    </row>
    <row r="70" spans="2:11" ht="37.15" customHeight="1" x14ac:dyDescent="0.3">
      <c r="B70" s="29">
        <v>65</v>
      </c>
      <c r="C70" s="11" t="s">
        <v>451</v>
      </c>
      <c r="D70" s="11" t="s">
        <v>120</v>
      </c>
      <c r="E70" s="11" t="s">
        <v>428</v>
      </c>
      <c r="F70" s="11" t="s">
        <v>446</v>
      </c>
      <c r="G70" s="11" t="s">
        <v>437</v>
      </c>
      <c r="H70" s="11" t="s">
        <v>437</v>
      </c>
      <c r="I70" s="11" t="s">
        <v>452</v>
      </c>
      <c r="J70" s="29"/>
      <c r="K70" s="11"/>
    </row>
    <row r="71" spans="2:11" ht="37.15" customHeight="1" x14ac:dyDescent="0.3">
      <c r="B71" s="29">
        <v>66</v>
      </c>
      <c r="C71" s="11" t="s">
        <v>453</v>
      </c>
      <c r="D71" s="11" t="s">
        <v>120</v>
      </c>
      <c r="E71" s="11" t="s">
        <v>428</v>
      </c>
      <c r="F71" s="11" t="s">
        <v>446</v>
      </c>
      <c r="G71" s="11" t="s">
        <v>439</v>
      </c>
      <c r="H71" s="11" t="s">
        <v>439</v>
      </c>
      <c r="I71" s="11" t="s">
        <v>454</v>
      </c>
      <c r="J71" s="29"/>
      <c r="K71" s="11"/>
    </row>
    <row r="72" spans="2:11" ht="37.15" customHeight="1" x14ac:dyDescent="0.3">
      <c r="B72" s="29">
        <v>67</v>
      </c>
      <c r="C72" s="11" t="s">
        <v>455</v>
      </c>
      <c r="D72" s="11" t="s">
        <v>120</v>
      </c>
      <c r="E72" s="11" t="s">
        <v>428</v>
      </c>
      <c r="F72" s="11" t="s">
        <v>446</v>
      </c>
      <c r="G72" s="11" t="s">
        <v>442</v>
      </c>
      <c r="H72" s="11" t="s">
        <v>442</v>
      </c>
      <c r="I72" s="11" t="s">
        <v>456</v>
      </c>
      <c r="J72" s="29"/>
      <c r="K72" s="11"/>
    </row>
    <row r="73" spans="2:11" ht="52.9" customHeight="1" x14ac:dyDescent="0.3">
      <c r="B73" s="34">
        <v>68</v>
      </c>
      <c r="C73" s="35" t="s">
        <v>457</v>
      </c>
      <c r="D73" s="35" t="s">
        <v>120</v>
      </c>
      <c r="E73" s="35" t="s">
        <v>428</v>
      </c>
      <c r="F73" s="35" t="s">
        <v>458</v>
      </c>
      <c r="G73" s="35" t="s">
        <v>459</v>
      </c>
      <c r="H73" s="35" t="s">
        <v>460</v>
      </c>
      <c r="I73" s="35" t="s">
        <v>461</v>
      </c>
      <c r="J73" s="34"/>
      <c r="K73" s="35"/>
    </row>
    <row r="74" spans="2:11" ht="84" customHeight="1" x14ac:dyDescent="0.3">
      <c r="B74" s="34">
        <v>69</v>
      </c>
      <c r="C74" s="35" t="s">
        <v>462</v>
      </c>
      <c r="D74" s="35" t="s">
        <v>120</v>
      </c>
      <c r="E74" s="35" t="s">
        <v>428</v>
      </c>
      <c r="F74" s="35" t="s">
        <v>458</v>
      </c>
      <c r="G74" s="35" t="s">
        <v>459</v>
      </c>
      <c r="H74" s="35" t="s">
        <v>463</v>
      </c>
      <c r="I74" s="35" t="s">
        <v>464</v>
      </c>
      <c r="J74" s="34"/>
      <c r="K74" s="35"/>
    </row>
    <row r="75" spans="2:11" ht="52.9" customHeight="1" x14ac:dyDescent="0.3">
      <c r="B75" s="34">
        <v>70</v>
      </c>
      <c r="C75" s="35" t="s">
        <v>465</v>
      </c>
      <c r="D75" s="35" t="s">
        <v>120</v>
      </c>
      <c r="E75" s="35" t="s">
        <v>428</v>
      </c>
      <c r="F75" s="35" t="s">
        <v>458</v>
      </c>
      <c r="G75" s="35" t="s">
        <v>466</v>
      </c>
      <c r="H75" s="35" t="s">
        <v>467</v>
      </c>
      <c r="I75" s="35" t="s">
        <v>468</v>
      </c>
      <c r="J75" s="34"/>
      <c r="K75" s="35"/>
    </row>
    <row r="76" spans="2:11" ht="52.9" customHeight="1" x14ac:dyDescent="0.3">
      <c r="B76" s="34">
        <v>71</v>
      </c>
      <c r="C76" s="35" t="s">
        <v>469</v>
      </c>
      <c r="D76" s="35" t="s">
        <v>120</v>
      </c>
      <c r="E76" s="35" t="s">
        <v>428</v>
      </c>
      <c r="F76" s="35" t="s">
        <v>458</v>
      </c>
      <c r="G76" s="35" t="s">
        <v>470</v>
      </c>
      <c r="H76" s="35" t="s">
        <v>470</v>
      </c>
      <c r="I76" s="35" t="s">
        <v>471</v>
      </c>
      <c r="J76" s="34"/>
      <c r="K76" s="35"/>
    </row>
    <row r="77" spans="2:11" ht="52.9" customHeight="1" x14ac:dyDescent="0.3">
      <c r="B77" s="29">
        <v>72</v>
      </c>
      <c r="C77" s="11" t="s">
        <v>472</v>
      </c>
      <c r="D77" s="11" t="s">
        <v>120</v>
      </c>
      <c r="E77" s="11" t="s">
        <v>428</v>
      </c>
      <c r="F77" s="11" t="s">
        <v>473</v>
      </c>
      <c r="G77" s="11" t="s">
        <v>474</v>
      </c>
      <c r="H77" s="11" t="s">
        <v>475</v>
      </c>
      <c r="I77" s="11" t="s">
        <v>476</v>
      </c>
      <c r="J77" s="29"/>
      <c r="K77" s="11"/>
    </row>
    <row r="78" spans="2:11" ht="37.15" customHeight="1" x14ac:dyDescent="0.3">
      <c r="B78" s="29">
        <v>73</v>
      </c>
      <c r="C78" s="11" t="s">
        <v>477</v>
      </c>
      <c r="D78" s="11" t="s">
        <v>120</v>
      </c>
      <c r="E78" s="11" t="s">
        <v>428</v>
      </c>
      <c r="F78" s="11" t="s">
        <v>473</v>
      </c>
      <c r="G78" s="11" t="s">
        <v>474</v>
      </c>
      <c r="H78" s="11" t="s">
        <v>478</v>
      </c>
      <c r="I78" s="11" t="s">
        <v>479</v>
      </c>
      <c r="J78" s="29"/>
      <c r="K78" s="11"/>
    </row>
    <row r="79" spans="2:11" ht="52.9" customHeight="1" x14ac:dyDescent="0.3">
      <c r="B79" s="29">
        <v>74</v>
      </c>
      <c r="C79" s="11" t="s">
        <v>480</v>
      </c>
      <c r="D79" s="11" t="s">
        <v>120</v>
      </c>
      <c r="E79" s="11" t="s">
        <v>428</v>
      </c>
      <c r="F79" s="11" t="s">
        <v>473</v>
      </c>
      <c r="G79" s="11" t="s">
        <v>481</v>
      </c>
      <c r="H79" s="11" t="s">
        <v>482</v>
      </c>
      <c r="I79" s="11" t="s">
        <v>483</v>
      </c>
      <c r="J79" s="29"/>
      <c r="K79" s="11"/>
    </row>
    <row r="80" spans="2:11" ht="21.6" customHeight="1" x14ac:dyDescent="0.3">
      <c r="B80" s="29">
        <v>75</v>
      </c>
      <c r="C80" s="11" t="s">
        <v>484</v>
      </c>
      <c r="D80" s="11" t="s">
        <v>120</v>
      </c>
      <c r="E80" s="11" t="s">
        <v>428</v>
      </c>
      <c r="F80" s="11" t="s">
        <v>473</v>
      </c>
      <c r="G80" s="11" t="s">
        <v>485</v>
      </c>
      <c r="H80" s="11" t="s">
        <v>486</v>
      </c>
      <c r="I80" s="11" t="s">
        <v>487</v>
      </c>
      <c r="J80" s="29"/>
      <c r="K80" s="11"/>
    </row>
    <row r="81" spans="2:11" ht="21.6" customHeight="1" x14ac:dyDescent="0.3">
      <c r="B81" s="29">
        <v>76</v>
      </c>
      <c r="C81" s="11" t="s">
        <v>488</v>
      </c>
      <c r="D81" s="11" t="s">
        <v>120</v>
      </c>
      <c r="E81" s="11" t="s">
        <v>428</v>
      </c>
      <c r="F81" s="11" t="s">
        <v>473</v>
      </c>
      <c r="G81" s="11" t="s">
        <v>485</v>
      </c>
      <c r="H81" s="11" t="s">
        <v>489</v>
      </c>
      <c r="I81" s="11" t="s">
        <v>490</v>
      </c>
      <c r="J81" s="29"/>
      <c r="K81" s="11"/>
    </row>
    <row r="82" spans="2:11" ht="52.9" customHeight="1" x14ac:dyDescent="0.3">
      <c r="B82" s="29">
        <v>77</v>
      </c>
      <c r="C82" s="11" t="s">
        <v>491</v>
      </c>
      <c r="D82" s="11" t="s">
        <v>120</v>
      </c>
      <c r="E82" s="11" t="s">
        <v>428</v>
      </c>
      <c r="F82" s="11" t="s">
        <v>473</v>
      </c>
      <c r="G82" s="11" t="s">
        <v>492</v>
      </c>
      <c r="H82" s="11" t="s">
        <v>493</v>
      </c>
      <c r="I82" s="11" t="s">
        <v>494</v>
      </c>
      <c r="J82" s="29"/>
      <c r="K82" s="11"/>
    </row>
    <row r="83" spans="2:11" ht="37.15" customHeight="1" x14ac:dyDescent="0.3">
      <c r="B83" s="29">
        <v>78</v>
      </c>
      <c r="C83" s="11" t="s">
        <v>495</v>
      </c>
      <c r="D83" s="11" t="s">
        <v>120</v>
      </c>
      <c r="E83" s="11" t="s">
        <v>428</v>
      </c>
      <c r="F83" s="11" t="s">
        <v>473</v>
      </c>
      <c r="G83" s="11" t="s">
        <v>496</v>
      </c>
      <c r="H83" s="11" t="s">
        <v>497</v>
      </c>
      <c r="I83" s="11" t="s">
        <v>498</v>
      </c>
      <c r="J83" s="29"/>
      <c r="K83" s="11"/>
    </row>
    <row r="84" spans="2:11" ht="37.15" customHeight="1" x14ac:dyDescent="0.3">
      <c r="B84" s="29">
        <v>79</v>
      </c>
      <c r="C84" s="11" t="s">
        <v>499</v>
      </c>
      <c r="D84" s="11" t="s">
        <v>120</v>
      </c>
      <c r="E84" s="11" t="s">
        <v>500</v>
      </c>
      <c r="F84" s="11" t="s">
        <v>501</v>
      </c>
      <c r="G84" s="11" t="s">
        <v>502</v>
      </c>
      <c r="H84" s="11" t="s">
        <v>503</v>
      </c>
      <c r="I84" s="11" t="s">
        <v>504</v>
      </c>
      <c r="J84" s="29"/>
      <c r="K84" s="11"/>
    </row>
    <row r="85" spans="2:11" ht="68.45" customHeight="1" x14ac:dyDescent="0.3">
      <c r="B85" s="29">
        <v>80</v>
      </c>
      <c r="C85" s="11" t="s">
        <v>505</v>
      </c>
      <c r="D85" s="11" t="s">
        <v>120</v>
      </c>
      <c r="E85" s="11" t="s">
        <v>500</v>
      </c>
      <c r="F85" s="11" t="s">
        <v>501</v>
      </c>
      <c r="G85" s="11" t="s">
        <v>502</v>
      </c>
      <c r="H85" s="11" t="s">
        <v>506</v>
      </c>
      <c r="I85" s="11" t="s">
        <v>507</v>
      </c>
      <c r="J85" s="29"/>
      <c r="K85" s="11"/>
    </row>
    <row r="86" spans="2:11" ht="68.45" customHeight="1" x14ac:dyDescent="0.3">
      <c r="B86" s="29">
        <v>81</v>
      </c>
      <c r="C86" s="11" t="s">
        <v>508</v>
      </c>
      <c r="D86" s="11" t="s">
        <v>120</v>
      </c>
      <c r="E86" s="11" t="s">
        <v>500</v>
      </c>
      <c r="F86" s="11" t="s">
        <v>501</v>
      </c>
      <c r="G86" s="11" t="s">
        <v>509</v>
      </c>
      <c r="H86" s="11" t="s">
        <v>510</v>
      </c>
      <c r="I86" s="11" t="s">
        <v>511</v>
      </c>
      <c r="J86" s="29"/>
      <c r="K86" s="11"/>
    </row>
    <row r="87" spans="2:11" ht="37.15" customHeight="1" x14ac:dyDescent="0.3">
      <c r="B87" s="29">
        <v>82</v>
      </c>
      <c r="C87" s="11" t="s">
        <v>512</v>
      </c>
      <c r="D87" s="11" t="s">
        <v>120</v>
      </c>
      <c r="E87" s="11" t="s">
        <v>500</v>
      </c>
      <c r="F87" s="11" t="s">
        <v>501</v>
      </c>
      <c r="G87" s="11" t="s">
        <v>509</v>
      </c>
      <c r="H87" s="11" t="s">
        <v>513</v>
      </c>
      <c r="I87" s="11" t="s">
        <v>514</v>
      </c>
      <c r="J87" s="29"/>
      <c r="K87" s="11"/>
    </row>
    <row r="88" spans="2:11" ht="68.45" customHeight="1" x14ac:dyDescent="0.3">
      <c r="B88" s="29">
        <v>83</v>
      </c>
      <c r="C88" s="11" t="s">
        <v>515</v>
      </c>
      <c r="D88" s="11" t="s">
        <v>120</v>
      </c>
      <c r="E88" s="11" t="s">
        <v>500</v>
      </c>
      <c r="F88" s="11" t="s">
        <v>501</v>
      </c>
      <c r="G88" s="11" t="s">
        <v>516</v>
      </c>
      <c r="H88" s="11" t="s">
        <v>517</v>
      </c>
      <c r="I88" s="11" t="s">
        <v>518</v>
      </c>
      <c r="J88" s="29"/>
      <c r="K88" s="11"/>
    </row>
    <row r="89" spans="2:11" ht="37.15" customHeight="1" x14ac:dyDescent="0.3">
      <c r="B89" s="29">
        <v>84</v>
      </c>
      <c r="C89" s="11" t="s">
        <v>519</v>
      </c>
      <c r="D89" s="11" t="s">
        <v>120</v>
      </c>
      <c r="E89" s="11" t="s">
        <v>500</v>
      </c>
      <c r="F89" s="11" t="s">
        <v>501</v>
      </c>
      <c r="G89" s="11" t="s">
        <v>520</v>
      </c>
      <c r="H89" s="11" t="s">
        <v>521</v>
      </c>
      <c r="I89" s="11" t="s">
        <v>522</v>
      </c>
      <c r="J89" s="29"/>
      <c r="K89" s="11"/>
    </row>
    <row r="90" spans="2:11" ht="99.6" customHeight="1" x14ac:dyDescent="0.3">
      <c r="B90" s="29">
        <v>85</v>
      </c>
      <c r="C90" s="11" t="s">
        <v>523</v>
      </c>
      <c r="D90" s="11" t="s">
        <v>120</v>
      </c>
      <c r="E90" s="11" t="s">
        <v>500</v>
      </c>
      <c r="F90" s="11" t="s">
        <v>501</v>
      </c>
      <c r="G90" s="11" t="s">
        <v>520</v>
      </c>
      <c r="H90" s="11" t="s">
        <v>520</v>
      </c>
      <c r="I90" s="11" t="s">
        <v>524</v>
      </c>
      <c r="J90" s="29"/>
      <c r="K90" s="11"/>
    </row>
    <row r="91" spans="2:11" ht="37.15" customHeight="1" x14ac:dyDescent="0.3">
      <c r="B91" s="29">
        <v>86</v>
      </c>
      <c r="C91" s="11" t="s">
        <v>525</v>
      </c>
      <c r="D91" s="11" t="s">
        <v>120</v>
      </c>
      <c r="E91" s="11" t="s">
        <v>500</v>
      </c>
      <c r="F91" s="11" t="s">
        <v>501</v>
      </c>
      <c r="G91" s="11" t="s">
        <v>526</v>
      </c>
      <c r="H91" s="11" t="s">
        <v>527</v>
      </c>
      <c r="I91" s="11" t="s">
        <v>528</v>
      </c>
      <c r="J91" s="29"/>
      <c r="K91" s="11"/>
    </row>
    <row r="92" spans="2:11" ht="99.6" customHeight="1" x14ac:dyDescent="0.3">
      <c r="B92" s="29">
        <v>87</v>
      </c>
      <c r="C92" s="11" t="s">
        <v>529</v>
      </c>
      <c r="D92" s="11" t="s">
        <v>120</v>
      </c>
      <c r="E92" s="11" t="s">
        <v>500</v>
      </c>
      <c r="F92" s="11" t="s">
        <v>501</v>
      </c>
      <c r="G92" s="11" t="s">
        <v>526</v>
      </c>
      <c r="H92" s="11" t="s">
        <v>530</v>
      </c>
      <c r="I92" s="11" t="s">
        <v>531</v>
      </c>
      <c r="J92" s="29"/>
      <c r="K92" s="11"/>
    </row>
    <row r="93" spans="2:11" ht="21.6" customHeight="1" x14ac:dyDescent="0.3">
      <c r="B93" s="29">
        <v>88</v>
      </c>
      <c r="C93" s="11" t="s">
        <v>532</v>
      </c>
      <c r="D93" s="11" t="s">
        <v>120</v>
      </c>
      <c r="E93" s="11" t="s">
        <v>500</v>
      </c>
      <c r="F93" s="11" t="s">
        <v>533</v>
      </c>
      <c r="G93" s="11" t="s">
        <v>534</v>
      </c>
      <c r="H93" s="11" t="s">
        <v>535</v>
      </c>
      <c r="I93" s="11" t="s">
        <v>535</v>
      </c>
      <c r="J93" s="29"/>
      <c r="K93" s="11"/>
    </row>
    <row r="94" spans="2:11" ht="21.6" customHeight="1" x14ac:dyDescent="0.3">
      <c r="B94" s="29">
        <v>89</v>
      </c>
      <c r="C94" s="11" t="s">
        <v>536</v>
      </c>
      <c r="D94" s="11" t="s">
        <v>120</v>
      </c>
      <c r="E94" s="11" t="s">
        <v>500</v>
      </c>
      <c r="F94" s="11" t="s">
        <v>533</v>
      </c>
      <c r="G94" s="11" t="s">
        <v>534</v>
      </c>
      <c r="H94" s="11" t="s">
        <v>534</v>
      </c>
      <c r="I94" s="11" t="s">
        <v>534</v>
      </c>
      <c r="J94" s="29"/>
      <c r="K94" s="11"/>
    </row>
    <row r="95" spans="2:11" ht="37.15" customHeight="1" x14ac:dyDescent="0.3">
      <c r="B95" s="29">
        <v>90</v>
      </c>
      <c r="C95" s="11" t="s">
        <v>537</v>
      </c>
      <c r="D95" s="11" t="s">
        <v>120</v>
      </c>
      <c r="E95" s="11" t="s">
        <v>500</v>
      </c>
      <c r="F95" s="11" t="s">
        <v>533</v>
      </c>
      <c r="G95" s="11" t="s">
        <v>538</v>
      </c>
      <c r="H95" s="11" t="s">
        <v>539</v>
      </c>
      <c r="I95" s="11" t="s">
        <v>540</v>
      </c>
      <c r="J95" s="29"/>
      <c r="K95" s="11"/>
    </row>
    <row r="96" spans="2:11" ht="37.15" customHeight="1" x14ac:dyDescent="0.3">
      <c r="B96" s="29">
        <v>91</v>
      </c>
      <c r="C96" s="11" t="s">
        <v>541</v>
      </c>
      <c r="D96" s="11" t="s">
        <v>120</v>
      </c>
      <c r="E96" s="11" t="s">
        <v>500</v>
      </c>
      <c r="F96" s="11" t="s">
        <v>533</v>
      </c>
      <c r="G96" s="11" t="s">
        <v>542</v>
      </c>
      <c r="H96" s="11" t="s">
        <v>543</v>
      </c>
      <c r="I96" s="11" t="s">
        <v>544</v>
      </c>
      <c r="J96" s="29"/>
      <c r="K96" s="11"/>
    </row>
    <row r="97" spans="2:11" ht="37.15" customHeight="1" x14ac:dyDescent="0.3">
      <c r="B97" s="29">
        <v>92</v>
      </c>
      <c r="C97" s="11" t="s">
        <v>545</v>
      </c>
      <c r="D97" s="11" t="s">
        <v>120</v>
      </c>
      <c r="E97" s="11" t="s">
        <v>500</v>
      </c>
      <c r="F97" s="11" t="s">
        <v>533</v>
      </c>
      <c r="G97" s="11" t="s">
        <v>546</v>
      </c>
      <c r="H97" s="11" t="s">
        <v>547</v>
      </c>
      <c r="I97" s="11" t="s">
        <v>548</v>
      </c>
      <c r="J97" s="29"/>
      <c r="K97" s="11"/>
    </row>
    <row r="98" spans="2:11" ht="37.15" customHeight="1" x14ac:dyDescent="0.3">
      <c r="B98" s="29">
        <v>93</v>
      </c>
      <c r="C98" s="11" t="s">
        <v>549</v>
      </c>
      <c r="D98" s="11" t="s">
        <v>120</v>
      </c>
      <c r="E98" s="11" t="s">
        <v>500</v>
      </c>
      <c r="F98" s="11" t="s">
        <v>533</v>
      </c>
      <c r="G98" s="11" t="s">
        <v>550</v>
      </c>
      <c r="H98" s="11" t="s">
        <v>551</v>
      </c>
      <c r="I98" s="11" t="s">
        <v>552</v>
      </c>
      <c r="J98" s="29"/>
      <c r="K98" s="11"/>
    </row>
    <row r="99" spans="2:11" ht="21.6" customHeight="1" x14ac:dyDescent="0.3">
      <c r="B99" s="29">
        <v>94</v>
      </c>
      <c r="C99" s="11" t="s">
        <v>553</v>
      </c>
      <c r="D99" s="11" t="s">
        <v>120</v>
      </c>
      <c r="E99" s="11" t="s">
        <v>500</v>
      </c>
      <c r="F99" s="11" t="s">
        <v>533</v>
      </c>
      <c r="G99" s="11" t="s">
        <v>554</v>
      </c>
      <c r="H99" s="11" t="s">
        <v>555</v>
      </c>
      <c r="I99" s="11" t="s">
        <v>555</v>
      </c>
      <c r="J99" s="29"/>
      <c r="K99" s="11"/>
    </row>
    <row r="100" spans="2:11" ht="21.6" customHeight="1" x14ac:dyDescent="0.3">
      <c r="B100" s="29">
        <v>95</v>
      </c>
      <c r="C100" s="11" t="s">
        <v>556</v>
      </c>
      <c r="D100" s="11" t="s">
        <v>120</v>
      </c>
      <c r="E100" s="11" t="s">
        <v>500</v>
      </c>
      <c r="F100" s="11" t="s">
        <v>533</v>
      </c>
      <c r="G100" s="11" t="s">
        <v>554</v>
      </c>
      <c r="H100" s="11" t="s">
        <v>557</v>
      </c>
      <c r="I100" s="11" t="s">
        <v>558</v>
      </c>
      <c r="J100" s="29"/>
      <c r="K100" s="11"/>
    </row>
    <row r="101" spans="2:11" ht="21.6" customHeight="1" x14ac:dyDescent="0.3">
      <c r="B101" s="29">
        <v>96</v>
      </c>
      <c r="C101" s="11" t="s">
        <v>559</v>
      </c>
      <c r="D101" s="11" t="s">
        <v>120</v>
      </c>
      <c r="E101" s="11" t="s">
        <v>500</v>
      </c>
      <c r="F101" s="11" t="s">
        <v>533</v>
      </c>
      <c r="G101" s="11" t="s">
        <v>554</v>
      </c>
      <c r="H101" s="11" t="s">
        <v>560</v>
      </c>
      <c r="I101" s="11" t="s">
        <v>561</v>
      </c>
      <c r="J101" s="29"/>
      <c r="K101" s="11"/>
    </row>
    <row r="102" spans="2:11" ht="37.15" customHeight="1" x14ac:dyDescent="0.3">
      <c r="B102" s="29">
        <v>97</v>
      </c>
      <c r="C102" s="11" t="s">
        <v>562</v>
      </c>
      <c r="D102" s="11" t="s">
        <v>120</v>
      </c>
      <c r="E102" s="11" t="s">
        <v>500</v>
      </c>
      <c r="F102" s="11" t="s">
        <v>533</v>
      </c>
      <c r="G102" s="11" t="s">
        <v>563</v>
      </c>
      <c r="H102" s="11" t="s">
        <v>564</v>
      </c>
      <c r="I102" s="11" t="s">
        <v>565</v>
      </c>
      <c r="J102" s="29"/>
      <c r="K102" s="11"/>
    </row>
    <row r="103" spans="2:11" ht="37.15" customHeight="1" x14ac:dyDescent="0.3">
      <c r="B103" s="29">
        <v>98</v>
      </c>
      <c r="C103" s="11" t="s">
        <v>566</v>
      </c>
      <c r="D103" s="11" t="s">
        <v>120</v>
      </c>
      <c r="E103" s="11" t="s">
        <v>500</v>
      </c>
      <c r="F103" s="11" t="s">
        <v>533</v>
      </c>
      <c r="G103" s="11" t="s">
        <v>567</v>
      </c>
      <c r="H103" s="11" t="s">
        <v>568</v>
      </c>
      <c r="I103" s="11" t="s">
        <v>569</v>
      </c>
      <c r="J103" s="29"/>
      <c r="K103" s="11"/>
    </row>
    <row r="104" spans="2:11" ht="37.15" customHeight="1" x14ac:dyDescent="0.3">
      <c r="B104" s="29">
        <v>99</v>
      </c>
      <c r="C104" s="11" t="s">
        <v>570</v>
      </c>
      <c r="D104" s="11" t="s">
        <v>120</v>
      </c>
      <c r="E104" s="11" t="s">
        <v>500</v>
      </c>
      <c r="F104" s="11" t="s">
        <v>533</v>
      </c>
      <c r="G104" s="11" t="s">
        <v>571</v>
      </c>
      <c r="H104" s="11" t="s">
        <v>572</v>
      </c>
      <c r="I104" s="11" t="s">
        <v>573</v>
      </c>
      <c r="J104" s="29"/>
      <c r="K104" s="11"/>
    </row>
    <row r="105" spans="2:11" ht="37.15" customHeight="1" x14ac:dyDescent="0.3">
      <c r="B105" s="29">
        <v>100</v>
      </c>
      <c r="C105" s="11" t="s">
        <v>574</v>
      </c>
      <c r="D105" s="11" t="s">
        <v>120</v>
      </c>
      <c r="E105" s="11" t="s">
        <v>500</v>
      </c>
      <c r="F105" s="11" t="s">
        <v>533</v>
      </c>
      <c r="G105" s="11" t="s">
        <v>575</v>
      </c>
      <c r="H105" s="11" t="s">
        <v>576</v>
      </c>
      <c r="I105" s="11" t="s">
        <v>577</v>
      </c>
      <c r="J105" s="29"/>
      <c r="K105" s="11"/>
    </row>
    <row r="106" spans="2:11" ht="52.9" customHeight="1" x14ac:dyDescent="0.3">
      <c r="B106" s="29">
        <v>101</v>
      </c>
      <c r="C106" s="11" t="s">
        <v>578</v>
      </c>
      <c r="D106" s="11" t="s">
        <v>120</v>
      </c>
      <c r="E106" s="11" t="s">
        <v>500</v>
      </c>
      <c r="F106" s="11" t="s">
        <v>579</v>
      </c>
      <c r="G106" s="11" t="s">
        <v>580</v>
      </c>
      <c r="H106" s="11" t="s">
        <v>580</v>
      </c>
      <c r="I106" s="11" t="s">
        <v>581</v>
      </c>
      <c r="J106" s="29"/>
      <c r="K106" s="11"/>
    </row>
    <row r="107" spans="2:11" ht="52.9" customHeight="1" x14ac:dyDescent="0.3">
      <c r="B107" s="29">
        <v>102</v>
      </c>
      <c r="C107" s="11" t="s">
        <v>582</v>
      </c>
      <c r="D107" s="11" t="s">
        <v>120</v>
      </c>
      <c r="E107" s="11" t="s">
        <v>500</v>
      </c>
      <c r="F107" s="11" t="s">
        <v>579</v>
      </c>
      <c r="G107" s="11" t="s">
        <v>583</v>
      </c>
      <c r="H107" s="11" t="s">
        <v>583</v>
      </c>
      <c r="I107" s="11" t="s">
        <v>584</v>
      </c>
      <c r="J107" s="29"/>
      <c r="K107" s="11"/>
    </row>
    <row r="108" spans="2:11" ht="37.15" customHeight="1" x14ac:dyDescent="0.3">
      <c r="B108" s="29">
        <v>103</v>
      </c>
      <c r="C108" s="11" t="s">
        <v>585</v>
      </c>
      <c r="D108" s="11" t="s">
        <v>120</v>
      </c>
      <c r="E108" s="11" t="s">
        <v>500</v>
      </c>
      <c r="F108" s="11" t="s">
        <v>579</v>
      </c>
      <c r="G108" s="11" t="s">
        <v>586</v>
      </c>
      <c r="H108" s="11" t="s">
        <v>586</v>
      </c>
      <c r="I108" s="11" t="s">
        <v>587</v>
      </c>
      <c r="J108" s="29"/>
      <c r="K108" s="11"/>
    </row>
    <row r="109" spans="2:11" ht="37.15" customHeight="1" x14ac:dyDescent="0.3">
      <c r="B109" s="29">
        <v>104</v>
      </c>
      <c r="C109" s="11" t="s">
        <v>588</v>
      </c>
      <c r="D109" s="11" t="s">
        <v>120</v>
      </c>
      <c r="E109" s="11" t="s">
        <v>500</v>
      </c>
      <c r="F109" s="11" t="s">
        <v>579</v>
      </c>
      <c r="G109" s="11" t="s">
        <v>589</v>
      </c>
      <c r="H109" s="11" t="s">
        <v>589</v>
      </c>
      <c r="I109" s="11" t="s">
        <v>590</v>
      </c>
      <c r="J109" s="29"/>
      <c r="K109" s="11"/>
    </row>
    <row r="110" spans="2:11" ht="37.15" customHeight="1" x14ac:dyDescent="0.3">
      <c r="B110" s="29">
        <v>105</v>
      </c>
      <c r="C110" s="11" t="s">
        <v>591</v>
      </c>
      <c r="D110" s="11" t="s">
        <v>120</v>
      </c>
      <c r="E110" s="11" t="s">
        <v>500</v>
      </c>
      <c r="F110" s="11" t="s">
        <v>579</v>
      </c>
      <c r="G110" s="11" t="s">
        <v>592</v>
      </c>
      <c r="H110" s="11" t="s">
        <v>592</v>
      </c>
      <c r="I110" s="11" t="s">
        <v>593</v>
      </c>
      <c r="J110" s="29"/>
      <c r="K110" s="11"/>
    </row>
    <row r="111" spans="2:11" ht="37.15" customHeight="1" x14ac:dyDescent="0.3">
      <c r="B111" s="29">
        <v>106</v>
      </c>
      <c r="C111" s="11" t="s">
        <v>594</v>
      </c>
      <c r="D111" s="11" t="s">
        <v>120</v>
      </c>
      <c r="E111" s="11" t="s">
        <v>500</v>
      </c>
      <c r="F111" s="11" t="s">
        <v>579</v>
      </c>
      <c r="G111" s="11" t="s">
        <v>595</v>
      </c>
      <c r="H111" s="11" t="s">
        <v>595</v>
      </c>
      <c r="I111" s="11" t="s">
        <v>596</v>
      </c>
      <c r="J111" s="29"/>
      <c r="K111" s="11"/>
    </row>
    <row r="112" spans="2:11" ht="37.15" customHeight="1" x14ac:dyDescent="0.3">
      <c r="B112" s="29">
        <v>107</v>
      </c>
      <c r="C112" s="11" t="s">
        <v>597</v>
      </c>
      <c r="D112" s="11" t="s">
        <v>120</v>
      </c>
      <c r="E112" s="11" t="s">
        <v>500</v>
      </c>
      <c r="F112" s="11" t="s">
        <v>579</v>
      </c>
      <c r="G112" s="11" t="s">
        <v>598</v>
      </c>
      <c r="H112" s="11" t="s">
        <v>598</v>
      </c>
      <c r="I112" s="11" t="s">
        <v>599</v>
      </c>
      <c r="J112" s="29"/>
      <c r="K112" s="11"/>
    </row>
    <row r="113" spans="2:11" ht="37.15" customHeight="1" x14ac:dyDescent="0.3">
      <c r="B113" s="29">
        <v>108</v>
      </c>
      <c r="C113" s="11" t="s">
        <v>600</v>
      </c>
      <c r="D113" s="11" t="s">
        <v>120</v>
      </c>
      <c r="E113" s="11" t="s">
        <v>500</v>
      </c>
      <c r="F113" s="11" t="s">
        <v>579</v>
      </c>
      <c r="G113" s="11" t="s">
        <v>601</v>
      </c>
      <c r="H113" s="11" t="s">
        <v>601</v>
      </c>
      <c r="I113" s="11" t="s">
        <v>602</v>
      </c>
      <c r="J113" s="29"/>
      <c r="K113" s="11"/>
    </row>
    <row r="114" spans="2:11" ht="37.15" customHeight="1" x14ac:dyDescent="0.3">
      <c r="B114" s="29">
        <v>109</v>
      </c>
      <c r="C114" s="11" t="s">
        <v>603</v>
      </c>
      <c r="D114" s="11" t="s">
        <v>120</v>
      </c>
      <c r="E114" s="11" t="s">
        <v>500</v>
      </c>
      <c r="F114" s="11" t="s">
        <v>579</v>
      </c>
      <c r="G114" s="11" t="s">
        <v>604</v>
      </c>
      <c r="H114" s="11" t="s">
        <v>605</v>
      </c>
      <c r="I114" s="11" t="s">
        <v>606</v>
      </c>
      <c r="J114" s="29"/>
      <c r="K114" s="11"/>
    </row>
    <row r="115" spans="2:11" ht="37.15" customHeight="1" x14ac:dyDescent="0.3">
      <c r="B115" s="29">
        <v>110</v>
      </c>
      <c r="C115" s="11" t="s">
        <v>607</v>
      </c>
      <c r="D115" s="11" t="s">
        <v>120</v>
      </c>
      <c r="E115" s="11" t="s">
        <v>500</v>
      </c>
      <c r="F115" s="11" t="s">
        <v>579</v>
      </c>
      <c r="G115" s="11" t="s">
        <v>604</v>
      </c>
      <c r="H115" s="11" t="s">
        <v>608</v>
      </c>
      <c r="I115" s="11" t="s">
        <v>609</v>
      </c>
      <c r="J115" s="29"/>
      <c r="K115" s="11"/>
    </row>
    <row r="116" spans="2:11" ht="37.15" customHeight="1" x14ac:dyDescent="0.3">
      <c r="B116" s="29">
        <v>111</v>
      </c>
      <c r="C116" s="11" t="s">
        <v>610</v>
      </c>
      <c r="D116" s="11" t="s">
        <v>120</v>
      </c>
      <c r="E116" s="11" t="s">
        <v>500</v>
      </c>
      <c r="F116" s="11" t="s">
        <v>579</v>
      </c>
      <c r="G116" s="11" t="s">
        <v>611</v>
      </c>
      <c r="H116" s="11" t="s">
        <v>611</v>
      </c>
      <c r="I116" s="11" t="s">
        <v>612</v>
      </c>
      <c r="J116" s="29"/>
      <c r="K116" s="11"/>
    </row>
    <row r="117" spans="2:11" ht="37.15" customHeight="1" x14ac:dyDescent="0.3">
      <c r="B117" s="29">
        <v>112</v>
      </c>
      <c r="C117" s="11" t="s">
        <v>613</v>
      </c>
      <c r="D117" s="11" t="s">
        <v>120</v>
      </c>
      <c r="E117" s="11" t="s">
        <v>500</v>
      </c>
      <c r="F117" s="11" t="s">
        <v>579</v>
      </c>
      <c r="G117" s="11" t="s">
        <v>614</v>
      </c>
      <c r="H117" s="11" t="s">
        <v>614</v>
      </c>
      <c r="I117" s="11" t="s">
        <v>615</v>
      </c>
      <c r="J117" s="29"/>
      <c r="K117" s="11"/>
    </row>
    <row r="118" spans="2:11" ht="21.6" customHeight="1" x14ac:dyDescent="0.3">
      <c r="B118" s="29">
        <v>113</v>
      </c>
      <c r="C118" s="11" t="s">
        <v>616</v>
      </c>
      <c r="D118" s="11" t="s">
        <v>120</v>
      </c>
      <c r="E118" s="11" t="s">
        <v>500</v>
      </c>
      <c r="F118" s="11" t="s">
        <v>579</v>
      </c>
      <c r="G118" s="11" t="s">
        <v>617</v>
      </c>
      <c r="H118" s="11" t="s">
        <v>618</v>
      </c>
      <c r="I118" s="11" t="s">
        <v>619</v>
      </c>
      <c r="J118" s="29"/>
      <c r="K118" s="11"/>
    </row>
    <row r="119" spans="2:11" ht="37.15" customHeight="1" x14ac:dyDescent="0.3">
      <c r="B119" s="29">
        <v>114</v>
      </c>
      <c r="C119" s="11" t="s">
        <v>620</v>
      </c>
      <c r="D119" s="11" t="s">
        <v>120</v>
      </c>
      <c r="E119" s="11" t="s">
        <v>500</v>
      </c>
      <c r="F119" s="11" t="s">
        <v>579</v>
      </c>
      <c r="G119" s="11" t="s">
        <v>621</v>
      </c>
      <c r="H119" s="11" t="s">
        <v>622</v>
      </c>
      <c r="I119" s="11" t="s">
        <v>623</v>
      </c>
      <c r="J119" s="29"/>
      <c r="K119" s="11"/>
    </row>
    <row r="120" spans="2:11" ht="52.9" customHeight="1" x14ac:dyDescent="0.3">
      <c r="B120" s="29">
        <v>115</v>
      </c>
      <c r="C120" s="11" t="s">
        <v>624</v>
      </c>
      <c r="D120" s="11" t="s">
        <v>120</v>
      </c>
      <c r="E120" s="11" t="s">
        <v>500</v>
      </c>
      <c r="F120" s="11" t="s">
        <v>625</v>
      </c>
      <c r="G120" s="11" t="s">
        <v>626</v>
      </c>
      <c r="H120" s="11" t="s">
        <v>627</v>
      </c>
      <c r="I120" s="11" t="s">
        <v>628</v>
      </c>
      <c r="J120" s="29"/>
      <c r="K120" s="11"/>
    </row>
    <row r="121" spans="2:11" ht="68.45" customHeight="1" x14ac:dyDescent="0.3">
      <c r="B121" s="29">
        <v>116</v>
      </c>
      <c r="C121" s="11" t="s">
        <v>624</v>
      </c>
      <c r="D121" s="11" t="s">
        <v>120</v>
      </c>
      <c r="E121" s="11" t="s">
        <v>500</v>
      </c>
      <c r="F121" s="11" t="s">
        <v>625</v>
      </c>
      <c r="G121" s="11" t="s">
        <v>626</v>
      </c>
      <c r="H121" s="11" t="s">
        <v>629</v>
      </c>
      <c r="I121" s="11" t="s">
        <v>630</v>
      </c>
      <c r="J121" s="29"/>
      <c r="K121" s="11"/>
    </row>
    <row r="122" spans="2:11" ht="37.15" customHeight="1" x14ac:dyDescent="0.3">
      <c r="B122" s="29">
        <v>117</v>
      </c>
      <c r="C122" s="11" t="s">
        <v>631</v>
      </c>
      <c r="D122" s="11" t="s">
        <v>120</v>
      </c>
      <c r="E122" s="11" t="s">
        <v>500</v>
      </c>
      <c r="F122" s="11" t="s">
        <v>625</v>
      </c>
      <c r="G122" s="11" t="s">
        <v>626</v>
      </c>
      <c r="H122" s="11" t="s">
        <v>632</v>
      </c>
      <c r="I122" s="11" t="s">
        <v>633</v>
      </c>
      <c r="J122" s="29"/>
      <c r="K122" s="11"/>
    </row>
    <row r="123" spans="2:11" ht="37.15" customHeight="1" x14ac:dyDescent="0.3">
      <c r="B123" s="29">
        <v>118</v>
      </c>
      <c r="C123" s="11" t="s">
        <v>634</v>
      </c>
      <c r="D123" s="11" t="s">
        <v>120</v>
      </c>
      <c r="E123" s="11" t="s">
        <v>500</v>
      </c>
      <c r="F123" s="11" t="s">
        <v>625</v>
      </c>
      <c r="G123" s="11" t="s">
        <v>635</v>
      </c>
      <c r="H123" s="11" t="s">
        <v>636</v>
      </c>
      <c r="I123" s="11" t="s">
        <v>637</v>
      </c>
      <c r="J123" s="29"/>
      <c r="K123" s="11"/>
    </row>
    <row r="124" spans="2:11" ht="37.15" customHeight="1" x14ac:dyDescent="0.3">
      <c r="B124" s="29">
        <v>119</v>
      </c>
      <c r="C124" s="11" t="s">
        <v>638</v>
      </c>
      <c r="D124" s="11" t="s">
        <v>120</v>
      </c>
      <c r="E124" s="11" t="s">
        <v>500</v>
      </c>
      <c r="F124" s="11" t="s">
        <v>625</v>
      </c>
      <c r="G124" s="11" t="s">
        <v>639</v>
      </c>
      <c r="H124" s="11" t="s">
        <v>640</v>
      </c>
      <c r="I124" s="11" t="s">
        <v>641</v>
      </c>
      <c r="J124" s="29"/>
      <c r="K124" s="11"/>
    </row>
    <row r="125" spans="2:11" ht="52.9" customHeight="1" x14ac:dyDescent="0.3">
      <c r="B125" s="29">
        <v>120</v>
      </c>
      <c r="C125" s="11" t="s">
        <v>642</v>
      </c>
      <c r="D125" s="11" t="s">
        <v>120</v>
      </c>
      <c r="E125" s="11" t="s">
        <v>500</v>
      </c>
      <c r="F125" s="11" t="s">
        <v>625</v>
      </c>
      <c r="G125" s="11" t="s">
        <v>643</v>
      </c>
      <c r="H125" s="11" t="s">
        <v>643</v>
      </c>
      <c r="I125" s="11" t="s">
        <v>644</v>
      </c>
      <c r="J125" s="29"/>
      <c r="K125" s="11"/>
    </row>
    <row r="126" spans="2:11" ht="37.15" customHeight="1" x14ac:dyDescent="0.3">
      <c r="B126" s="29">
        <v>121</v>
      </c>
      <c r="C126" s="11" t="s">
        <v>645</v>
      </c>
      <c r="D126" s="11" t="s">
        <v>120</v>
      </c>
      <c r="E126" s="11" t="s">
        <v>646</v>
      </c>
      <c r="F126" s="11" t="s">
        <v>647</v>
      </c>
      <c r="G126" s="11" t="s">
        <v>648</v>
      </c>
      <c r="H126" s="11" t="s">
        <v>648</v>
      </c>
      <c r="I126" s="11" t="s">
        <v>649</v>
      </c>
      <c r="J126" s="29"/>
      <c r="K126" s="11"/>
    </row>
    <row r="127" spans="2:11" ht="37.15" customHeight="1" x14ac:dyDescent="0.3">
      <c r="B127" s="29">
        <v>122</v>
      </c>
      <c r="C127" s="11" t="s">
        <v>650</v>
      </c>
      <c r="D127" s="11" t="s">
        <v>120</v>
      </c>
      <c r="E127" s="11" t="s">
        <v>646</v>
      </c>
      <c r="F127" s="11" t="s">
        <v>647</v>
      </c>
      <c r="G127" s="11" t="s">
        <v>651</v>
      </c>
      <c r="H127" s="11" t="s">
        <v>651</v>
      </c>
      <c r="I127" s="11" t="s">
        <v>652</v>
      </c>
      <c r="J127" s="29"/>
      <c r="K127" s="11"/>
    </row>
    <row r="128" spans="2:11" ht="37.15" customHeight="1" x14ac:dyDescent="0.3">
      <c r="B128" s="29">
        <v>123</v>
      </c>
      <c r="C128" s="11" t="s">
        <v>653</v>
      </c>
      <c r="D128" s="11" t="s">
        <v>120</v>
      </c>
      <c r="E128" s="11" t="s">
        <v>646</v>
      </c>
      <c r="F128" s="11" t="s">
        <v>647</v>
      </c>
      <c r="G128" s="11" t="s">
        <v>654</v>
      </c>
      <c r="H128" s="11" t="s">
        <v>654</v>
      </c>
      <c r="I128" s="11" t="s">
        <v>655</v>
      </c>
      <c r="J128" s="29"/>
      <c r="K128" s="11"/>
    </row>
    <row r="129" spans="2:11" ht="37.15" customHeight="1" x14ac:dyDescent="0.3">
      <c r="B129" s="29">
        <v>124</v>
      </c>
      <c r="C129" s="11" t="s">
        <v>656</v>
      </c>
      <c r="D129" s="11" t="s">
        <v>120</v>
      </c>
      <c r="E129" s="11" t="s">
        <v>646</v>
      </c>
      <c r="F129" s="11" t="s">
        <v>647</v>
      </c>
      <c r="G129" s="11" t="s">
        <v>657</v>
      </c>
      <c r="H129" s="11" t="s">
        <v>657</v>
      </c>
      <c r="I129" s="11" t="s">
        <v>658</v>
      </c>
      <c r="J129" s="29"/>
      <c r="K129" s="11"/>
    </row>
    <row r="130" spans="2:11" ht="37.15" customHeight="1" x14ac:dyDescent="0.3">
      <c r="B130" s="29">
        <v>125</v>
      </c>
      <c r="C130" s="11" t="s">
        <v>659</v>
      </c>
      <c r="D130" s="11" t="s">
        <v>120</v>
      </c>
      <c r="E130" s="11" t="s">
        <v>646</v>
      </c>
      <c r="F130" s="11" t="s">
        <v>647</v>
      </c>
      <c r="G130" s="11" t="s">
        <v>660</v>
      </c>
      <c r="H130" s="11" t="s">
        <v>660</v>
      </c>
      <c r="I130" s="11" t="s">
        <v>661</v>
      </c>
      <c r="J130" s="29"/>
      <c r="K130" s="11"/>
    </row>
    <row r="131" spans="2:11" ht="37.15" customHeight="1" x14ac:dyDescent="0.3">
      <c r="B131" s="29">
        <v>126</v>
      </c>
      <c r="C131" s="11" t="s">
        <v>662</v>
      </c>
      <c r="D131" s="11" t="s">
        <v>120</v>
      </c>
      <c r="E131" s="11" t="s">
        <v>646</v>
      </c>
      <c r="F131" s="11" t="s">
        <v>647</v>
      </c>
      <c r="G131" s="11" t="s">
        <v>663</v>
      </c>
      <c r="H131" s="11" t="s">
        <v>664</v>
      </c>
      <c r="I131" s="11" t="s">
        <v>665</v>
      </c>
      <c r="J131" s="29"/>
      <c r="K131" s="11"/>
    </row>
    <row r="132" spans="2:11" ht="37.15" customHeight="1" x14ac:dyDescent="0.3">
      <c r="B132" s="29">
        <v>127</v>
      </c>
      <c r="C132" s="11" t="s">
        <v>666</v>
      </c>
      <c r="D132" s="11" t="s">
        <v>120</v>
      </c>
      <c r="E132" s="11" t="s">
        <v>646</v>
      </c>
      <c r="F132" s="11" t="s">
        <v>647</v>
      </c>
      <c r="G132" s="11" t="s">
        <v>667</v>
      </c>
      <c r="H132" s="11" t="s">
        <v>668</v>
      </c>
      <c r="I132" s="11" t="s">
        <v>669</v>
      </c>
      <c r="J132" s="29"/>
      <c r="K132" s="11"/>
    </row>
    <row r="133" spans="2:11" ht="37.15" customHeight="1" x14ac:dyDescent="0.3">
      <c r="B133" s="29">
        <v>128</v>
      </c>
      <c r="C133" s="11" t="s">
        <v>670</v>
      </c>
      <c r="D133" s="11" t="s">
        <v>120</v>
      </c>
      <c r="E133" s="11" t="s">
        <v>646</v>
      </c>
      <c r="F133" s="11" t="s">
        <v>647</v>
      </c>
      <c r="G133" s="11" t="s">
        <v>671</v>
      </c>
      <c r="H133" s="11" t="s">
        <v>671</v>
      </c>
      <c r="I133" s="11" t="s">
        <v>672</v>
      </c>
      <c r="J133" s="29"/>
      <c r="K133" s="11"/>
    </row>
    <row r="134" spans="2:11" ht="37.15" customHeight="1" x14ac:dyDescent="0.3">
      <c r="B134" s="29">
        <v>129</v>
      </c>
      <c r="C134" s="11" t="s">
        <v>673</v>
      </c>
      <c r="D134" s="11" t="s">
        <v>120</v>
      </c>
      <c r="E134" s="11" t="s">
        <v>646</v>
      </c>
      <c r="F134" s="11" t="s">
        <v>647</v>
      </c>
      <c r="G134" s="11" t="s">
        <v>674</v>
      </c>
      <c r="H134" s="11" t="s">
        <v>675</v>
      </c>
      <c r="I134" s="11" t="s">
        <v>676</v>
      </c>
      <c r="J134" s="29"/>
      <c r="K134" s="11"/>
    </row>
    <row r="135" spans="2:11" ht="37.15" customHeight="1" x14ac:dyDescent="0.3">
      <c r="B135" s="29">
        <v>130</v>
      </c>
      <c r="C135" s="11" t="s">
        <v>677</v>
      </c>
      <c r="D135" s="11" t="s">
        <v>120</v>
      </c>
      <c r="E135" s="11" t="s">
        <v>646</v>
      </c>
      <c r="F135" s="11" t="s">
        <v>647</v>
      </c>
      <c r="G135" s="11" t="s">
        <v>674</v>
      </c>
      <c r="H135" s="11" t="s">
        <v>678</v>
      </c>
      <c r="I135" s="11" t="s">
        <v>679</v>
      </c>
      <c r="J135" s="29"/>
      <c r="K135" s="11"/>
    </row>
    <row r="136" spans="2:11" ht="37.15" customHeight="1" x14ac:dyDescent="0.3">
      <c r="B136" s="29">
        <v>131</v>
      </c>
      <c r="C136" s="11" t="s">
        <v>680</v>
      </c>
      <c r="D136" s="11" t="s">
        <v>120</v>
      </c>
      <c r="E136" s="11" t="s">
        <v>646</v>
      </c>
      <c r="F136" s="11" t="s">
        <v>647</v>
      </c>
      <c r="G136" s="11" t="s">
        <v>674</v>
      </c>
      <c r="H136" s="11" t="s">
        <v>681</v>
      </c>
      <c r="I136" s="11" t="s">
        <v>682</v>
      </c>
      <c r="J136" s="29"/>
      <c r="K136" s="11"/>
    </row>
    <row r="137" spans="2:11" ht="37.15" customHeight="1" x14ac:dyDescent="0.3">
      <c r="B137" s="29">
        <v>132</v>
      </c>
      <c r="C137" s="11" t="s">
        <v>683</v>
      </c>
      <c r="D137" s="11" t="s">
        <v>120</v>
      </c>
      <c r="E137" s="11" t="s">
        <v>646</v>
      </c>
      <c r="F137" s="11" t="s">
        <v>647</v>
      </c>
      <c r="G137" s="11" t="s">
        <v>674</v>
      </c>
      <c r="H137" s="11" t="s">
        <v>684</v>
      </c>
      <c r="I137" s="11" t="s">
        <v>685</v>
      </c>
      <c r="J137" s="29"/>
      <c r="K137" s="11"/>
    </row>
    <row r="138" spans="2:11" ht="52.9" customHeight="1" x14ac:dyDescent="0.3">
      <c r="B138" s="29">
        <v>133</v>
      </c>
      <c r="C138" s="11" t="s">
        <v>686</v>
      </c>
      <c r="D138" s="11" t="s">
        <v>120</v>
      </c>
      <c r="E138" s="11" t="s">
        <v>646</v>
      </c>
      <c r="F138" s="11" t="s">
        <v>647</v>
      </c>
      <c r="G138" s="11" t="s">
        <v>687</v>
      </c>
      <c r="H138" s="11" t="s">
        <v>687</v>
      </c>
      <c r="I138" s="11" t="s">
        <v>688</v>
      </c>
      <c r="J138" s="29"/>
      <c r="K138" s="11"/>
    </row>
    <row r="139" spans="2:11" ht="37.15" customHeight="1" x14ac:dyDescent="0.3">
      <c r="B139" s="29">
        <v>134</v>
      </c>
      <c r="C139" s="11" t="s">
        <v>689</v>
      </c>
      <c r="D139" s="11" t="s">
        <v>120</v>
      </c>
      <c r="E139" s="11" t="s">
        <v>646</v>
      </c>
      <c r="F139" s="11" t="s">
        <v>647</v>
      </c>
      <c r="G139" s="11" t="s">
        <v>690</v>
      </c>
      <c r="H139" s="11" t="s">
        <v>690</v>
      </c>
      <c r="I139" s="11" t="s">
        <v>691</v>
      </c>
      <c r="J139" s="29"/>
      <c r="K139" s="11"/>
    </row>
    <row r="140" spans="2:11" ht="37.15" customHeight="1" x14ac:dyDescent="0.3">
      <c r="B140" s="29">
        <v>135</v>
      </c>
      <c r="C140" s="11" t="s">
        <v>692</v>
      </c>
      <c r="D140" s="11" t="s">
        <v>120</v>
      </c>
      <c r="E140" s="11" t="s">
        <v>646</v>
      </c>
      <c r="F140" s="11" t="s">
        <v>647</v>
      </c>
      <c r="G140" s="11" t="s">
        <v>693</v>
      </c>
      <c r="H140" s="11" t="s">
        <v>693</v>
      </c>
      <c r="I140" s="11" t="s">
        <v>694</v>
      </c>
      <c r="J140" s="29"/>
      <c r="K140" s="11"/>
    </row>
    <row r="141" spans="2:11" ht="37.15" customHeight="1" x14ac:dyDescent="0.3">
      <c r="B141" s="29">
        <v>136</v>
      </c>
      <c r="C141" s="11" t="s">
        <v>695</v>
      </c>
      <c r="D141" s="11" t="s">
        <v>120</v>
      </c>
      <c r="E141" s="11" t="s">
        <v>646</v>
      </c>
      <c r="F141" s="11" t="s">
        <v>647</v>
      </c>
      <c r="G141" s="11" t="s">
        <v>696</v>
      </c>
      <c r="H141" s="11" t="s">
        <v>696</v>
      </c>
      <c r="I141" s="11" t="s">
        <v>697</v>
      </c>
      <c r="J141" s="29"/>
      <c r="K141" s="11"/>
    </row>
    <row r="142" spans="2:11" ht="37.15" customHeight="1" x14ac:dyDescent="0.3">
      <c r="B142" s="29">
        <v>137</v>
      </c>
      <c r="C142" s="11" t="s">
        <v>698</v>
      </c>
      <c r="D142" s="11" t="s">
        <v>120</v>
      </c>
      <c r="E142" s="11" t="s">
        <v>646</v>
      </c>
      <c r="F142" s="11" t="s">
        <v>647</v>
      </c>
      <c r="G142" s="11" t="s">
        <v>699</v>
      </c>
      <c r="H142" s="11" t="s">
        <v>699</v>
      </c>
      <c r="I142" s="11" t="s">
        <v>700</v>
      </c>
      <c r="J142" s="29"/>
      <c r="K142" s="11"/>
    </row>
    <row r="143" spans="2:11" ht="37.15" customHeight="1" x14ac:dyDescent="0.3">
      <c r="B143" s="29">
        <v>138</v>
      </c>
      <c r="C143" s="11" t="s">
        <v>701</v>
      </c>
      <c r="D143" s="11" t="s">
        <v>120</v>
      </c>
      <c r="E143" s="11" t="s">
        <v>646</v>
      </c>
      <c r="F143" s="11" t="s">
        <v>647</v>
      </c>
      <c r="G143" s="11" t="s">
        <v>702</v>
      </c>
      <c r="H143" s="11" t="s">
        <v>702</v>
      </c>
      <c r="I143" s="11" t="s">
        <v>703</v>
      </c>
      <c r="J143" s="29"/>
      <c r="K143" s="11"/>
    </row>
    <row r="144" spans="2:11" ht="52.9" customHeight="1" x14ac:dyDescent="0.3">
      <c r="B144" s="29">
        <v>139</v>
      </c>
      <c r="C144" s="11" t="s">
        <v>704</v>
      </c>
      <c r="D144" s="11" t="s">
        <v>120</v>
      </c>
      <c r="E144" s="11" t="s">
        <v>646</v>
      </c>
      <c r="F144" s="11" t="s">
        <v>647</v>
      </c>
      <c r="G144" s="11" t="s">
        <v>705</v>
      </c>
      <c r="H144" s="11" t="s">
        <v>705</v>
      </c>
      <c r="I144" s="11" t="s">
        <v>706</v>
      </c>
      <c r="J144" s="29"/>
      <c r="K144" s="11"/>
    </row>
    <row r="145" spans="2:11" ht="37.15" customHeight="1" x14ac:dyDescent="0.3">
      <c r="B145" s="29">
        <v>140</v>
      </c>
      <c r="C145" s="11" t="s">
        <v>707</v>
      </c>
      <c r="D145" s="11" t="s">
        <v>120</v>
      </c>
      <c r="E145" s="11" t="s">
        <v>646</v>
      </c>
      <c r="F145" s="11" t="s">
        <v>647</v>
      </c>
      <c r="G145" s="11" t="s">
        <v>708</v>
      </c>
      <c r="H145" s="11" t="s">
        <v>708</v>
      </c>
      <c r="I145" s="11" t="s">
        <v>709</v>
      </c>
      <c r="J145" s="29"/>
      <c r="K145" s="11"/>
    </row>
    <row r="146" spans="2:11" ht="37.15" customHeight="1" x14ac:dyDescent="0.3">
      <c r="B146" s="29">
        <v>141</v>
      </c>
      <c r="C146" s="11" t="s">
        <v>710</v>
      </c>
      <c r="D146" s="11" t="s">
        <v>120</v>
      </c>
      <c r="E146" s="11" t="s">
        <v>646</v>
      </c>
      <c r="F146" s="11" t="s">
        <v>647</v>
      </c>
      <c r="G146" s="11" t="s">
        <v>711</v>
      </c>
      <c r="H146" s="11" t="s">
        <v>712</v>
      </c>
      <c r="I146" s="11" t="s">
        <v>713</v>
      </c>
      <c r="J146" s="29"/>
      <c r="K146" s="11"/>
    </row>
    <row r="147" spans="2:11" ht="52.9" customHeight="1" x14ac:dyDescent="0.3">
      <c r="B147" s="29">
        <v>142</v>
      </c>
      <c r="C147" s="11" t="s">
        <v>714</v>
      </c>
      <c r="D147" s="11" t="s">
        <v>120</v>
      </c>
      <c r="E147" s="11" t="s">
        <v>646</v>
      </c>
      <c r="F147" s="11" t="s">
        <v>647</v>
      </c>
      <c r="G147" s="11" t="s">
        <v>715</v>
      </c>
      <c r="H147" s="11" t="s">
        <v>716</v>
      </c>
      <c r="I147" s="11" t="s">
        <v>717</v>
      </c>
      <c r="J147" s="29"/>
      <c r="K147" s="11"/>
    </row>
    <row r="148" spans="2:11" ht="37.15" customHeight="1" x14ac:dyDescent="0.3">
      <c r="B148" s="29">
        <v>143</v>
      </c>
      <c r="C148" s="11" t="s">
        <v>718</v>
      </c>
      <c r="D148" s="11" t="s">
        <v>120</v>
      </c>
      <c r="E148" s="11" t="s">
        <v>646</v>
      </c>
      <c r="F148" s="11" t="s">
        <v>647</v>
      </c>
      <c r="G148" s="11" t="s">
        <v>715</v>
      </c>
      <c r="H148" s="11" t="s">
        <v>719</v>
      </c>
      <c r="I148" s="11" t="s">
        <v>720</v>
      </c>
      <c r="J148" s="29"/>
      <c r="K148" s="11"/>
    </row>
    <row r="149" spans="2:11" ht="37.15" customHeight="1" x14ac:dyDescent="0.3">
      <c r="B149" s="29">
        <v>144</v>
      </c>
      <c r="C149" s="11" t="s">
        <v>721</v>
      </c>
      <c r="D149" s="11" t="s">
        <v>120</v>
      </c>
      <c r="E149" s="11" t="s">
        <v>646</v>
      </c>
      <c r="F149" s="11" t="s">
        <v>647</v>
      </c>
      <c r="G149" s="11" t="s">
        <v>715</v>
      </c>
      <c r="H149" s="11" t="s">
        <v>722</v>
      </c>
      <c r="I149" s="11" t="s">
        <v>723</v>
      </c>
      <c r="J149" s="29"/>
      <c r="K149" s="11"/>
    </row>
    <row r="150" spans="2:11" ht="37.15" customHeight="1" x14ac:dyDescent="0.3">
      <c r="B150" s="29">
        <v>145</v>
      </c>
      <c r="C150" s="11" t="s">
        <v>724</v>
      </c>
      <c r="D150" s="11" t="s">
        <v>120</v>
      </c>
      <c r="E150" s="11" t="s">
        <v>646</v>
      </c>
      <c r="F150" s="11" t="s">
        <v>647</v>
      </c>
      <c r="G150" s="11" t="s">
        <v>725</v>
      </c>
      <c r="H150" s="11" t="s">
        <v>726</v>
      </c>
      <c r="I150" s="11" t="s">
        <v>727</v>
      </c>
      <c r="J150" s="29"/>
      <c r="K150" s="11"/>
    </row>
    <row r="151" spans="2:11" ht="37.15" customHeight="1" x14ac:dyDescent="0.3">
      <c r="B151" s="29">
        <v>146</v>
      </c>
      <c r="C151" s="11" t="s">
        <v>728</v>
      </c>
      <c r="D151" s="11" t="s">
        <v>120</v>
      </c>
      <c r="E151" s="11" t="s">
        <v>646</v>
      </c>
      <c r="F151" s="11" t="s">
        <v>647</v>
      </c>
      <c r="G151" s="11" t="s">
        <v>725</v>
      </c>
      <c r="H151" s="11" t="s">
        <v>729</v>
      </c>
      <c r="I151" s="11" t="s">
        <v>730</v>
      </c>
      <c r="J151" s="29"/>
      <c r="K151" s="11"/>
    </row>
    <row r="152" spans="2:11" ht="37.15" customHeight="1" x14ac:dyDescent="0.3">
      <c r="B152" s="29">
        <v>147</v>
      </c>
      <c r="C152" s="11" t="s">
        <v>731</v>
      </c>
      <c r="D152" s="11" t="s">
        <v>120</v>
      </c>
      <c r="E152" s="11" t="s">
        <v>646</v>
      </c>
      <c r="F152" s="11" t="s">
        <v>647</v>
      </c>
      <c r="G152" s="11" t="s">
        <v>725</v>
      </c>
      <c r="H152" s="11" t="s">
        <v>732</v>
      </c>
      <c r="I152" s="11" t="s">
        <v>733</v>
      </c>
      <c r="J152" s="29"/>
      <c r="K152" s="11"/>
    </row>
    <row r="153" spans="2:11" ht="52.9" customHeight="1" x14ac:dyDescent="0.3">
      <c r="B153" s="29">
        <v>148</v>
      </c>
      <c r="C153" s="11" t="s">
        <v>734</v>
      </c>
      <c r="D153" s="11" t="s">
        <v>120</v>
      </c>
      <c r="E153" s="11" t="s">
        <v>646</v>
      </c>
      <c r="F153" s="11" t="s">
        <v>647</v>
      </c>
      <c r="G153" s="11" t="s">
        <v>735</v>
      </c>
      <c r="H153" s="11" t="s">
        <v>735</v>
      </c>
      <c r="I153" s="11" t="s">
        <v>736</v>
      </c>
      <c r="J153" s="29"/>
      <c r="K153" s="11"/>
    </row>
    <row r="154" spans="2:11" ht="37.15" customHeight="1" x14ac:dyDescent="0.3">
      <c r="B154" s="29">
        <v>149</v>
      </c>
      <c r="C154" s="11" t="s">
        <v>737</v>
      </c>
      <c r="D154" s="11" t="s">
        <v>120</v>
      </c>
      <c r="E154" s="11" t="s">
        <v>646</v>
      </c>
      <c r="F154" s="11" t="s">
        <v>647</v>
      </c>
      <c r="G154" s="11" t="s">
        <v>738</v>
      </c>
      <c r="H154" s="11" t="s">
        <v>738</v>
      </c>
      <c r="I154" s="11" t="s">
        <v>739</v>
      </c>
      <c r="J154" s="29"/>
      <c r="K154" s="11"/>
    </row>
    <row r="155" spans="2:11" ht="37.15" customHeight="1" x14ac:dyDescent="0.3">
      <c r="B155" s="29">
        <v>150</v>
      </c>
      <c r="C155" s="11" t="s">
        <v>740</v>
      </c>
      <c r="D155" s="11" t="s">
        <v>120</v>
      </c>
      <c r="E155" s="11" t="s">
        <v>646</v>
      </c>
      <c r="F155" s="11" t="s">
        <v>647</v>
      </c>
      <c r="G155" s="11" t="s">
        <v>741</v>
      </c>
      <c r="H155" s="11" t="s">
        <v>741</v>
      </c>
      <c r="I155" s="11" t="s">
        <v>742</v>
      </c>
      <c r="J155" s="29"/>
      <c r="K155" s="11"/>
    </row>
    <row r="156" spans="2:11" ht="52.9" customHeight="1" x14ac:dyDescent="0.3">
      <c r="B156" s="29">
        <v>151</v>
      </c>
      <c r="C156" s="11" t="s">
        <v>743</v>
      </c>
      <c r="D156" s="11" t="s">
        <v>120</v>
      </c>
      <c r="E156" s="11" t="s">
        <v>646</v>
      </c>
      <c r="F156" s="11" t="s">
        <v>647</v>
      </c>
      <c r="G156" s="11" t="s">
        <v>744</v>
      </c>
      <c r="H156" s="11" t="s">
        <v>745</v>
      </c>
      <c r="I156" s="11" t="s">
        <v>746</v>
      </c>
      <c r="J156" s="29"/>
      <c r="K156" s="11"/>
    </row>
    <row r="157" spans="2:11" ht="52.9" customHeight="1" x14ac:dyDescent="0.3">
      <c r="B157" s="29">
        <v>152</v>
      </c>
      <c r="C157" s="11" t="s">
        <v>747</v>
      </c>
      <c r="D157" s="11" t="s">
        <v>120</v>
      </c>
      <c r="E157" s="11" t="s">
        <v>646</v>
      </c>
      <c r="F157" s="11" t="s">
        <v>647</v>
      </c>
      <c r="G157" s="11" t="s">
        <v>748</v>
      </c>
      <c r="H157" s="11" t="s">
        <v>749</v>
      </c>
      <c r="I157" s="11" t="s">
        <v>750</v>
      </c>
      <c r="J157" s="29"/>
      <c r="K157" s="11"/>
    </row>
    <row r="158" spans="2:11" ht="37.15" customHeight="1" x14ac:dyDescent="0.3">
      <c r="B158" s="29">
        <v>153</v>
      </c>
      <c r="C158" s="11" t="s">
        <v>751</v>
      </c>
      <c r="D158" s="11" t="s">
        <v>120</v>
      </c>
      <c r="E158" s="11" t="s">
        <v>646</v>
      </c>
      <c r="F158" s="11" t="s">
        <v>647</v>
      </c>
      <c r="G158" s="11" t="s">
        <v>752</v>
      </c>
      <c r="H158" s="11" t="s">
        <v>752</v>
      </c>
      <c r="I158" s="11" t="s">
        <v>753</v>
      </c>
      <c r="J158" s="29"/>
      <c r="K158" s="11"/>
    </row>
    <row r="159" spans="2:11" ht="37.15" customHeight="1" x14ac:dyDescent="0.3">
      <c r="B159" s="29">
        <v>154</v>
      </c>
      <c r="C159" s="11" t="s">
        <v>754</v>
      </c>
      <c r="D159" s="11" t="s">
        <v>120</v>
      </c>
      <c r="E159" s="11" t="s">
        <v>646</v>
      </c>
      <c r="F159" s="11" t="s">
        <v>647</v>
      </c>
      <c r="G159" s="11" t="s">
        <v>755</v>
      </c>
      <c r="H159" s="11" t="s">
        <v>755</v>
      </c>
      <c r="I159" s="11" t="s">
        <v>756</v>
      </c>
      <c r="J159" s="29"/>
      <c r="K159" s="11"/>
    </row>
    <row r="160" spans="2:11" ht="37.15" customHeight="1" x14ac:dyDescent="0.3">
      <c r="B160" s="29">
        <v>155</v>
      </c>
      <c r="C160" s="11" t="s">
        <v>757</v>
      </c>
      <c r="D160" s="11" t="s">
        <v>120</v>
      </c>
      <c r="E160" s="11" t="s">
        <v>646</v>
      </c>
      <c r="F160" s="11" t="s">
        <v>758</v>
      </c>
      <c r="G160" s="11" t="s">
        <v>759</v>
      </c>
      <c r="H160" s="11" t="s">
        <v>760</v>
      </c>
      <c r="I160" s="11" t="s">
        <v>761</v>
      </c>
      <c r="J160" s="29"/>
      <c r="K160" s="11"/>
    </row>
    <row r="161" spans="2:11" ht="37.15" customHeight="1" x14ac:dyDescent="0.3">
      <c r="B161" s="29">
        <v>156</v>
      </c>
      <c r="C161" s="11" t="s">
        <v>762</v>
      </c>
      <c r="D161" s="11" t="s">
        <v>120</v>
      </c>
      <c r="E161" s="11" t="s">
        <v>646</v>
      </c>
      <c r="F161" s="11" t="s">
        <v>758</v>
      </c>
      <c r="G161" s="11" t="s">
        <v>763</v>
      </c>
      <c r="H161" s="11" t="s">
        <v>764</v>
      </c>
      <c r="I161" s="11" t="s">
        <v>765</v>
      </c>
      <c r="J161" s="29"/>
      <c r="K161" s="11"/>
    </row>
    <row r="162" spans="2:11" ht="37.15" customHeight="1" x14ac:dyDescent="0.3">
      <c r="B162" s="29">
        <v>157</v>
      </c>
      <c r="C162" s="11" t="s">
        <v>766</v>
      </c>
      <c r="D162" s="11" t="s">
        <v>120</v>
      </c>
      <c r="E162" s="11" t="s">
        <v>646</v>
      </c>
      <c r="F162" s="11" t="s">
        <v>758</v>
      </c>
      <c r="G162" s="11" t="s">
        <v>767</v>
      </c>
      <c r="H162" s="11" t="s">
        <v>768</v>
      </c>
      <c r="I162" s="11" t="s">
        <v>769</v>
      </c>
      <c r="J162" s="29"/>
      <c r="K162" s="11"/>
    </row>
    <row r="163" spans="2:11" ht="37.15" customHeight="1" x14ac:dyDescent="0.3">
      <c r="B163" s="29">
        <v>158</v>
      </c>
      <c r="C163" s="11" t="s">
        <v>770</v>
      </c>
      <c r="D163" s="11" t="s">
        <v>120</v>
      </c>
      <c r="E163" s="11" t="s">
        <v>646</v>
      </c>
      <c r="F163" s="11" t="s">
        <v>758</v>
      </c>
      <c r="G163" s="11" t="s">
        <v>771</v>
      </c>
      <c r="H163" s="11" t="s">
        <v>772</v>
      </c>
      <c r="I163" s="11" t="s">
        <v>773</v>
      </c>
      <c r="J163" s="29"/>
      <c r="K163" s="11"/>
    </row>
    <row r="164" spans="2:11" ht="37.15" customHeight="1" x14ac:dyDescent="0.3">
      <c r="B164" s="29">
        <v>159</v>
      </c>
      <c r="C164" s="11" t="s">
        <v>774</v>
      </c>
      <c r="D164" s="11" t="s">
        <v>120</v>
      </c>
      <c r="E164" s="11" t="s">
        <v>646</v>
      </c>
      <c r="F164" s="11" t="s">
        <v>758</v>
      </c>
      <c r="G164" s="11" t="s">
        <v>775</v>
      </c>
      <c r="H164" s="11" t="s">
        <v>776</v>
      </c>
      <c r="I164" s="11" t="s">
        <v>777</v>
      </c>
      <c r="J164" s="29"/>
      <c r="K164" s="11"/>
    </row>
    <row r="165" spans="2:11" ht="37.15" customHeight="1" x14ac:dyDescent="0.3">
      <c r="B165" s="29">
        <v>160</v>
      </c>
      <c r="C165" s="11" t="s">
        <v>778</v>
      </c>
      <c r="D165" s="11" t="s">
        <v>120</v>
      </c>
      <c r="E165" s="11" t="s">
        <v>646</v>
      </c>
      <c r="F165" s="11" t="s">
        <v>758</v>
      </c>
      <c r="G165" s="11" t="s">
        <v>779</v>
      </c>
      <c r="H165" s="11" t="s">
        <v>780</v>
      </c>
      <c r="I165" s="11" t="s">
        <v>781</v>
      </c>
      <c r="J165" s="29"/>
      <c r="K165" s="11"/>
    </row>
    <row r="166" spans="2:11" ht="52.9" customHeight="1" x14ac:dyDescent="0.3">
      <c r="B166" s="29">
        <v>161</v>
      </c>
      <c r="C166" s="11" t="s">
        <v>782</v>
      </c>
      <c r="D166" s="11" t="s">
        <v>120</v>
      </c>
      <c r="E166" s="11" t="s">
        <v>646</v>
      </c>
      <c r="F166" s="11" t="s">
        <v>758</v>
      </c>
      <c r="G166" s="11" t="s">
        <v>783</v>
      </c>
      <c r="H166" s="11" t="s">
        <v>784</v>
      </c>
      <c r="I166" s="11" t="s">
        <v>785</v>
      </c>
      <c r="J166" s="29"/>
      <c r="K166" s="11"/>
    </row>
    <row r="167" spans="2:11" ht="52.9" customHeight="1" x14ac:dyDescent="0.3">
      <c r="B167" s="29">
        <v>162</v>
      </c>
      <c r="C167" s="11" t="s">
        <v>786</v>
      </c>
      <c r="D167" s="11" t="s">
        <v>120</v>
      </c>
      <c r="E167" s="11" t="s">
        <v>787</v>
      </c>
      <c r="F167" s="11" t="s">
        <v>788</v>
      </c>
      <c r="G167" s="11" t="s">
        <v>789</v>
      </c>
      <c r="H167" s="11" t="s">
        <v>790</v>
      </c>
      <c r="I167" s="11" t="s">
        <v>791</v>
      </c>
      <c r="J167" s="29"/>
      <c r="K167" s="11"/>
    </row>
    <row r="168" spans="2:11" ht="68.45" customHeight="1" x14ac:dyDescent="0.3">
      <c r="B168" s="29">
        <v>163</v>
      </c>
      <c r="C168" s="11" t="s">
        <v>792</v>
      </c>
      <c r="D168" s="11" t="s">
        <v>120</v>
      </c>
      <c r="E168" s="11" t="s">
        <v>787</v>
      </c>
      <c r="F168" s="11" t="s">
        <v>788</v>
      </c>
      <c r="G168" s="11" t="s">
        <v>793</v>
      </c>
      <c r="H168" s="11" t="s">
        <v>794</v>
      </c>
      <c r="I168" s="11" t="s">
        <v>795</v>
      </c>
      <c r="J168" s="29"/>
      <c r="K168" s="11"/>
    </row>
    <row r="169" spans="2:11" ht="37.15" customHeight="1" x14ac:dyDescent="0.3">
      <c r="B169" s="29">
        <v>164</v>
      </c>
      <c r="C169" s="11" t="s">
        <v>796</v>
      </c>
      <c r="D169" s="11" t="s">
        <v>120</v>
      </c>
      <c r="E169" s="11" t="s">
        <v>787</v>
      </c>
      <c r="F169" s="11" t="s">
        <v>788</v>
      </c>
      <c r="G169" s="11" t="s">
        <v>797</v>
      </c>
      <c r="H169" s="11" t="s">
        <v>797</v>
      </c>
      <c r="I169" s="11" t="s">
        <v>798</v>
      </c>
      <c r="J169" s="29"/>
      <c r="K169" s="11"/>
    </row>
    <row r="170" spans="2:11" ht="37.15" customHeight="1" x14ac:dyDescent="0.3">
      <c r="B170" s="29">
        <v>165</v>
      </c>
      <c r="C170" s="11" t="s">
        <v>799</v>
      </c>
      <c r="D170" s="11" t="s">
        <v>120</v>
      </c>
      <c r="E170" s="11" t="s">
        <v>787</v>
      </c>
      <c r="F170" s="11" t="s">
        <v>788</v>
      </c>
      <c r="G170" s="11" t="s">
        <v>797</v>
      </c>
      <c r="H170" s="11" t="s">
        <v>800</v>
      </c>
      <c r="I170" s="11" t="s">
        <v>801</v>
      </c>
      <c r="J170" s="29"/>
      <c r="K170" s="11"/>
    </row>
    <row r="171" spans="2:11" ht="52.9" customHeight="1" x14ac:dyDescent="0.3">
      <c r="B171" s="29">
        <v>166</v>
      </c>
      <c r="C171" s="11" t="s">
        <v>802</v>
      </c>
      <c r="D171" s="11" t="s">
        <v>120</v>
      </c>
      <c r="E171" s="11" t="s">
        <v>787</v>
      </c>
      <c r="F171" s="11" t="s">
        <v>788</v>
      </c>
      <c r="G171" s="11" t="s">
        <v>803</v>
      </c>
      <c r="H171" s="11" t="s">
        <v>803</v>
      </c>
      <c r="I171" s="11" t="s">
        <v>804</v>
      </c>
      <c r="J171" s="29"/>
      <c r="K171" s="11"/>
    </row>
    <row r="172" spans="2:11" ht="68.45" customHeight="1" x14ac:dyDescent="0.3">
      <c r="B172" s="29">
        <v>167</v>
      </c>
      <c r="C172" s="11" t="s">
        <v>805</v>
      </c>
      <c r="D172" s="11" t="s">
        <v>120</v>
      </c>
      <c r="E172" s="11" t="s">
        <v>787</v>
      </c>
      <c r="F172" s="11" t="s">
        <v>788</v>
      </c>
      <c r="G172" s="11" t="s">
        <v>806</v>
      </c>
      <c r="H172" s="11" t="s">
        <v>807</v>
      </c>
      <c r="I172" s="11" t="s">
        <v>808</v>
      </c>
      <c r="J172" s="29"/>
      <c r="K172" s="11"/>
    </row>
    <row r="173" spans="2:11" ht="52.9" customHeight="1" x14ac:dyDescent="0.3">
      <c r="B173" s="29">
        <v>168</v>
      </c>
      <c r="C173" s="11" t="s">
        <v>809</v>
      </c>
      <c r="D173" s="11" t="s">
        <v>120</v>
      </c>
      <c r="E173" s="11" t="s">
        <v>787</v>
      </c>
      <c r="F173" s="11" t="s">
        <v>788</v>
      </c>
      <c r="G173" s="11" t="s">
        <v>810</v>
      </c>
      <c r="H173" s="11" t="s">
        <v>810</v>
      </c>
      <c r="I173" s="11" t="s">
        <v>811</v>
      </c>
      <c r="J173" s="29"/>
      <c r="K173" s="11"/>
    </row>
    <row r="174" spans="2:11" ht="52.9" customHeight="1" x14ac:dyDescent="0.3">
      <c r="B174" s="29">
        <v>169</v>
      </c>
      <c r="C174" s="11" t="s">
        <v>812</v>
      </c>
      <c r="D174" s="11" t="s">
        <v>120</v>
      </c>
      <c r="E174" s="11" t="s">
        <v>787</v>
      </c>
      <c r="F174" s="11" t="s">
        <v>788</v>
      </c>
      <c r="G174" s="11" t="s">
        <v>813</v>
      </c>
      <c r="H174" s="11" t="s">
        <v>813</v>
      </c>
      <c r="I174" s="11" t="s">
        <v>814</v>
      </c>
      <c r="J174" s="29"/>
      <c r="K174" s="11"/>
    </row>
    <row r="175" spans="2:11" ht="37.15" customHeight="1" x14ac:dyDescent="0.3">
      <c r="B175" s="29">
        <v>170</v>
      </c>
      <c r="C175" s="11" t="s">
        <v>815</v>
      </c>
      <c r="D175" s="11" t="s">
        <v>120</v>
      </c>
      <c r="E175" s="11" t="s">
        <v>787</v>
      </c>
      <c r="F175" s="11" t="s">
        <v>788</v>
      </c>
      <c r="G175" s="11" t="s">
        <v>816</v>
      </c>
      <c r="H175" s="11" t="s">
        <v>816</v>
      </c>
      <c r="I175" s="11" t="s">
        <v>817</v>
      </c>
      <c r="J175" s="29"/>
      <c r="K175" s="11"/>
    </row>
    <row r="176" spans="2:11" ht="99.6" customHeight="1" x14ac:dyDescent="0.3">
      <c r="B176" s="29">
        <v>171</v>
      </c>
      <c r="C176" s="11" t="s">
        <v>818</v>
      </c>
      <c r="D176" s="11" t="s">
        <v>120</v>
      </c>
      <c r="E176" s="11" t="s">
        <v>787</v>
      </c>
      <c r="F176" s="11" t="s">
        <v>788</v>
      </c>
      <c r="G176" s="11" t="s">
        <v>819</v>
      </c>
      <c r="H176" s="11" t="s">
        <v>820</v>
      </c>
      <c r="I176" s="11" t="s">
        <v>821</v>
      </c>
      <c r="J176" s="29"/>
      <c r="K176" s="11"/>
    </row>
    <row r="177" spans="2:11" ht="37.15" customHeight="1" x14ac:dyDescent="0.3">
      <c r="B177" s="29">
        <v>172</v>
      </c>
      <c r="C177" s="11" t="s">
        <v>822</v>
      </c>
      <c r="D177" s="11" t="s">
        <v>120</v>
      </c>
      <c r="E177" s="11" t="s">
        <v>787</v>
      </c>
      <c r="F177" s="11" t="s">
        <v>788</v>
      </c>
      <c r="G177" s="11" t="s">
        <v>823</v>
      </c>
      <c r="H177" s="11" t="s">
        <v>824</v>
      </c>
      <c r="I177" s="11" t="s">
        <v>825</v>
      </c>
      <c r="J177" s="29"/>
      <c r="K177" s="11"/>
    </row>
    <row r="178" spans="2:11" ht="21.6" customHeight="1" x14ac:dyDescent="0.3">
      <c r="B178" s="29">
        <v>173</v>
      </c>
      <c r="C178" s="11" t="s">
        <v>826</v>
      </c>
      <c r="D178" s="11" t="s">
        <v>120</v>
      </c>
      <c r="E178" s="11" t="s">
        <v>787</v>
      </c>
      <c r="F178" s="11" t="s">
        <v>788</v>
      </c>
      <c r="G178" s="11" t="s">
        <v>827</v>
      </c>
      <c r="H178" s="11" t="s">
        <v>827</v>
      </c>
      <c r="I178" s="11" t="s">
        <v>828</v>
      </c>
      <c r="J178" s="29"/>
      <c r="K178" s="11"/>
    </row>
    <row r="179" spans="2:11" ht="37.15" customHeight="1" x14ac:dyDescent="0.3">
      <c r="B179" s="29">
        <v>174</v>
      </c>
      <c r="C179" s="11" t="s">
        <v>829</v>
      </c>
      <c r="D179" s="11" t="s">
        <v>120</v>
      </c>
      <c r="E179" s="11" t="s">
        <v>787</v>
      </c>
      <c r="F179" s="11" t="s">
        <v>788</v>
      </c>
      <c r="G179" s="11" t="s">
        <v>830</v>
      </c>
      <c r="H179" s="11" t="s">
        <v>830</v>
      </c>
      <c r="I179" s="11" t="s">
        <v>831</v>
      </c>
      <c r="J179" s="29"/>
      <c r="K179" s="11"/>
    </row>
    <row r="180" spans="2:11" ht="68.45" customHeight="1" x14ac:dyDescent="0.3">
      <c r="B180" s="29">
        <v>175</v>
      </c>
      <c r="C180" s="11" t="s">
        <v>832</v>
      </c>
      <c r="D180" s="11" t="s">
        <v>120</v>
      </c>
      <c r="E180" s="11" t="s">
        <v>787</v>
      </c>
      <c r="F180" s="11" t="s">
        <v>788</v>
      </c>
      <c r="G180" s="11" t="s">
        <v>833</v>
      </c>
      <c r="H180" s="11" t="s">
        <v>833</v>
      </c>
      <c r="I180" s="11" t="s">
        <v>834</v>
      </c>
      <c r="J180" s="29"/>
      <c r="K180" s="11"/>
    </row>
    <row r="181" spans="2:11" ht="37.15" customHeight="1" x14ac:dyDescent="0.3">
      <c r="B181" s="29">
        <v>176</v>
      </c>
      <c r="C181" s="11" t="s">
        <v>835</v>
      </c>
      <c r="D181" s="11" t="s">
        <v>120</v>
      </c>
      <c r="E181" s="11" t="s">
        <v>787</v>
      </c>
      <c r="F181" s="11" t="s">
        <v>788</v>
      </c>
      <c r="G181" s="11" t="s">
        <v>836</v>
      </c>
      <c r="H181" s="11" t="s">
        <v>836</v>
      </c>
      <c r="I181" s="11" t="s">
        <v>837</v>
      </c>
      <c r="J181" s="29"/>
      <c r="K181" s="11"/>
    </row>
    <row r="182" spans="2:11" ht="37.15" customHeight="1" x14ac:dyDescent="0.3">
      <c r="B182" s="29">
        <v>177</v>
      </c>
      <c r="C182" s="11" t="s">
        <v>838</v>
      </c>
      <c r="D182" s="11" t="s">
        <v>120</v>
      </c>
      <c r="E182" s="11" t="s">
        <v>787</v>
      </c>
      <c r="F182" s="11" t="s">
        <v>788</v>
      </c>
      <c r="G182" s="11" t="s">
        <v>839</v>
      </c>
      <c r="H182" s="11" t="s">
        <v>839</v>
      </c>
      <c r="I182" s="11" t="s">
        <v>840</v>
      </c>
      <c r="J182" s="29"/>
      <c r="K182" s="11"/>
    </row>
    <row r="183" spans="2:11" ht="37.15" customHeight="1" x14ac:dyDescent="0.3">
      <c r="B183" s="29">
        <v>178</v>
      </c>
      <c r="C183" s="11" t="s">
        <v>841</v>
      </c>
      <c r="D183" s="11" t="s">
        <v>120</v>
      </c>
      <c r="E183" s="11" t="s">
        <v>787</v>
      </c>
      <c r="F183" s="11" t="s">
        <v>842</v>
      </c>
      <c r="G183" s="11" t="s">
        <v>843</v>
      </c>
      <c r="H183" s="11" t="s">
        <v>843</v>
      </c>
      <c r="I183" s="11" t="s">
        <v>844</v>
      </c>
      <c r="J183" s="29"/>
      <c r="K183" s="11"/>
    </row>
    <row r="184" spans="2:11" ht="68.45" customHeight="1" x14ac:dyDescent="0.3">
      <c r="B184" s="29">
        <v>179</v>
      </c>
      <c r="C184" s="11" t="s">
        <v>845</v>
      </c>
      <c r="D184" s="11" t="s">
        <v>120</v>
      </c>
      <c r="E184" s="11" t="s">
        <v>787</v>
      </c>
      <c r="F184" s="11" t="s">
        <v>842</v>
      </c>
      <c r="G184" s="11" t="s">
        <v>846</v>
      </c>
      <c r="H184" s="11" t="s">
        <v>846</v>
      </c>
      <c r="I184" s="11" t="s">
        <v>847</v>
      </c>
      <c r="J184" s="29"/>
      <c r="K184" s="11"/>
    </row>
    <row r="185" spans="2:11" ht="37.15" customHeight="1" x14ac:dyDescent="0.3">
      <c r="B185" s="29">
        <v>180</v>
      </c>
      <c r="C185" s="11" t="s">
        <v>848</v>
      </c>
      <c r="D185" s="11" t="s">
        <v>120</v>
      </c>
      <c r="E185" s="11" t="s">
        <v>787</v>
      </c>
      <c r="F185" s="11" t="s">
        <v>842</v>
      </c>
      <c r="G185" s="11" t="s">
        <v>849</v>
      </c>
      <c r="H185" s="11" t="s">
        <v>850</v>
      </c>
      <c r="I185" s="11" t="s">
        <v>851</v>
      </c>
      <c r="J185" s="29"/>
      <c r="K185" s="11"/>
    </row>
    <row r="186" spans="2:11" ht="37.15" customHeight="1" x14ac:dyDescent="0.3">
      <c r="B186" s="29">
        <v>181</v>
      </c>
      <c r="C186" s="11" t="s">
        <v>852</v>
      </c>
      <c r="D186" s="11" t="s">
        <v>120</v>
      </c>
      <c r="E186" s="11" t="s">
        <v>787</v>
      </c>
      <c r="F186" s="11" t="s">
        <v>842</v>
      </c>
      <c r="G186" s="11" t="s">
        <v>853</v>
      </c>
      <c r="H186" s="11" t="s">
        <v>854</v>
      </c>
      <c r="I186" s="11" t="s">
        <v>855</v>
      </c>
      <c r="J186" s="29"/>
      <c r="K186" s="11"/>
    </row>
    <row r="187" spans="2:11" ht="52.9" customHeight="1" x14ac:dyDescent="0.3">
      <c r="B187" s="29">
        <v>182</v>
      </c>
      <c r="C187" s="11" t="s">
        <v>856</v>
      </c>
      <c r="D187" s="11" t="s">
        <v>120</v>
      </c>
      <c r="E187" s="11" t="s">
        <v>787</v>
      </c>
      <c r="F187" s="11" t="s">
        <v>842</v>
      </c>
      <c r="G187" s="11" t="s">
        <v>857</v>
      </c>
      <c r="H187" s="11" t="s">
        <v>858</v>
      </c>
      <c r="I187" s="11" t="s">
        <v>859</v>
      </c>
      <c r="J187" s="29"/>
      <c r="K187" s="11"/>
    </row>
    <row r="188" spans="2:11" ht="37.15" customHeight="1" x14ac:dyDescent="0.3">
      <c r="B188" s="29">
        <v>183</v>
      </c>
      <c r="C188" s="11" t="s">
        <v>860</v>
      </c>
      <c r="D188" s="11" t="s">
        <v>120</v>
      </c>
      <c r="E188" s="11" t="s">
        <v>787</v>
      </c>
      <c r="F188" s="11" t="s">
        <v>842</v>
      </c>
      <c r="G188" s="11" t="s">
        <v>861</v>
      </c>
      <c r="H188" s="11" t="s">
        <v>862</v>
      </c>
      <c r="I188" s="11" t="s">
        <v>863</v>
      </c>
      <c r="J188" s="29"/>
      <c r="K188" s="11"/>
    </row>
    <row r="189" spans="2:11" ht="52.9" customHeight="1" x14ac:dyDescent="0.3">
      <c r="B189" s="29">
        <v>184</v>
      </c>
      <c r="C189" s="11" t="s">
        <v>864</v>
      </c>
      <c r="D189" s="11" t="s">
        <v>120</v>
      </c>
      <c r="E189" s="11" t="s">
        <v>787</v>
      </c>
      <c r="F189" s="11" t="s">
        <v>842</v>
      </c>
      <c r="G189" s="11" t="s">
        <v>865</v>
      </c>
      <c r="H189" s="11" t="s">
        <v>865</v>
      </c>
      <c r="I189" s="11" t="s">
        <v>866</v>
      </c>
      <c r="J189" s="29"/>
      <c r="K189" s="11"/>
    </row>
    <row r="190" spans="2:11" ht="37.15" customHeight="1" x14ac:dyDescent="0.3">
      <c r="B190" s="29">
        <v>185</v>
      </c>
      <c r="C190" s="11" t="s">
        <v>867</v>
      </c>
      <c r="D190" s="11" t="s">
        <v>120</v>
      </c>
      <c r="E190" s="11" t="s">
        <v>787</v>
      </c>
      <c r="F190" s="11" t="s">
        <v>842</v>
      </c>
      <c r="G190" s="11" t="s">
        <v>836</v>
      </c>
      <c r="H190" s="11" t="s">
        <v>836</v>
      </c>
      <c r="I190" s="11" t="s">
        <v>868</v>
      </c>
      <c r="J190" s="29"/>
      <c r="K190" s="11"/>
    </row>
    <row r="191" spans="2:11" ht="37.15" customHeight="1" x14ac:dyDescent="0.3">
      <c r="B191" s="29">
        <v>186</v>
      </c>
      <c r="C191" s="11" t="s">
        <v>869</v>
      </c>
      <c r="D191" s="11" t="s">
        <v>120</v>
      </c>
      <c r="E191" s="11" t="s">
        <v>787</v>
      </c>
      <c r="F191" s="11" t="s">
        <v>842</v>
      </c>
      <c r="G191" s="11" t="s">
        <v>839</v>
      </c>
      <c r="H191" s="11" t="s">
        <v>839</v>
      </c>
      <c r="I191" s="11" t="s">
        <v>870</v>
      </c>
      <c r="J191" s="29"/>
      <c r="K191" s="11"/>
    </row>
    <row r="192" spans="2:11" ht="52.9" customHeight="1" x14ac:dyDescent="0.3">
      <c r="B192" s="29">
        <v>187</v>
      </c>
      <c r="C192" s="11" t="s">
        <v>871</v>
      </c>
      <c r="D192" s="11" t="s">
        <v>120</v>
      </c>
      <c r="E192" s="11" t="s">
        <v>787</v>
      </c>
      <c r="F192" s="11" t="s">
        <v>872</v>
      </c>
      <c r="G192" s="11" t="s">
        <v>873</v>
      </c>
      <c r="H192" s="11" t="s">
        <v>874</v>
      </c>
      <c r="I192" s="11" t="s">
        <v>875</v>
      </c>
      <c r="J192" s="29"/>
      <c r="K192" s="11"/>
    </row>
    <row r="193" spans="2:11" ht="52.9" customHeight="1" x14ac:dyDescent="0.3">
      <c r="B193" s="29">
        <v>188</v>
      </c>
      <c r="C193" s="11" t="s">
        <v>876</v>
      </c>
      <c r="D193" s="11" t="s">
        <v>120</v>
      </c>
      <c r="E193" s="11" t="s">
        <v>787</v>
      </c>
      <c r="F193" s="11" t="s">
        <v>872</v>
      </c>
      <c r="G193" s="11" t="s">
        <v>877</v>
      </c>
      <c r="H193" s="11" t="s">
        <v>877</v>
      </c>
      <c r="I193" s="11" t="s">
        <v>878</v>
      </c>
      <c r="J193" s="29"/>
      <c r="K193" s="11"/>
    </row>
    <row r="194" spans="2:11" ht="68.45" customHeight="1" x14ac:dyDescent="0.3">
      <c r="B194" s="29">
        <v>189</v>
      </c>
      <c r="C194" s="11" t="s">
        <v>879</v>
      </c>
      <c r="D194" s="11" t="s">
        <v>120</v>
      </c>
      <c r="E194" s="11" t="s">
        <v>787</v>
      </c>
      <c r="F194" s="11" t="s">
        <v>872</v>
      </c>
      <c r="G194" s="11" t="s">
        <v>880</v>
      </c>
      <c r="H194" s="11" t="s">
        <v>880</v>
      </c>
      <c r="I194" s="11" t="s">
        <v>881</v>
      </c>
      <c r="J194" s="29"/>
      <c r="K194" s="11"/>
    </row>
    <row r="195" spans="2:11" ht="37.15" customHeight="1" x14ac:dyDescent="0.3">
      <c r="B195" s="29">
        <v>190</v>
      </c>
      <c r="C195" s="11" t="s">
        <v>882</v>
      </c>
      <c r="D195" s="11" t="s">
        <v>120</v>
      </c>
      <c r="E195" s="11" t="s">
        <v>787</v>
      </c>
      <c r="F195" s="11" t="s">
        <v>872</v>
      </c>
      <c r="G195" s="11" t="s">
        <v>883</v>
      </c>
      <c r="H195" s="11" t="s">
        <v>883</v>
      </c>
      <c r="I195" s="11" t="s">
        <v>884</v>
      </c>
      <c r="J195" s="29"/>
      <c r="K195" s="11"/>
    </row>
    <row r="196" spans="2:11" ht="37.15" customHeight="1" x14ac:dyDescent="0.3">
      <c r="B196" s="29">
        <v>191</v>
      </c>
      <c r="C196" s="11" t="s">
        <v>885</v>
      </c>
      <c r="D196" s="11" t="s">
        <v>120</v>
      </c>
      <c r="E196" s="11" t="s">
        <v>787</v>
      </c>
      <c r="F196" s="11" t="s">
        <v>872</v>
      </c>
      <c r="G196" s="11" t="s">
        <v>886</v>
      </c>
      <c r="H196" s="11" t="s">
        <v>886</v>
      </c>
      <c r="I196" s="11" t="s">
        <v>887</v>
      </c>
      <c r="J196" s="29"/>
      <c r="K196" s="11"/>
    </row>
    <row r="197" spans="2:11" ht="52.9" customHeight="1" x14ac:dyDescent="0.3">
      <c r="B197" s="29">
        <v>192</v>
      </c>
      <c r="C197" s="11" t="s">
        <v>888</v>
      </c>
      <c r="D197" s="11" t="s">
        <v>120</v>
      </c>
      <c r="E197" s="11" t="s">
        <v>787</v>
      </c>
      <c r="F197" s="11" t="s">
        <v>872</v>
      </c>
      <c r="G197" s="11" t="s">
        <v>889</v>
      </c>
      <c r="H197" s="11" t="s">
        <v>889</v>
      </c>
      <c r="I197" s="11" t="s">
        <v>890</v>
      </c>
      <c r="J197" s="29"/>
      <c r="K197" s="11"/>
    </row>
    <row r="198" spans="2:11" ht="37.15" customHeight="1" x14ac:dyDescent="0.3">
      <c r="B198" s="29">
        <v>193</v>
      </c>
      <c r="C198" s="11" t="s">
        <v>891</v>
      </c>
      <c r="D198" s="11" t="s">
        <v>120</v>
      </c>
      <c r="E198" s="11" t="s">
        <v>787</v>
      </c>
      <c r="F198" s="11" t="s">
        <v>872</v>
      </c>
      <c r="G198" s="11" t="s">
        <v>892</v>
      </c>
      <c r="H198" s="11" t="s">
        <v>892</v>
      </c>
      <c r="I198" s="11" t="s">
        <v>893</v>
      </c>
      <c r="J198" s="29"/>
      <c r="K198" s="11"/>
    </row>
    <row r="199" spans="2:11" ht="37.15" customHeight="1" x14ac:dyDescent="0.3">
      <c r="B199" s="29">
        <v>194</v>
      </c>
      <c r="C199" s="11" t="s">
        <v>894</v>
      </c>
      <c r="D199" s="11" t="s">
        <v>120</v>
      </c>
      <c r="E199" s="11" t="s">
        <v>787</v>
      </c>
      <c r="F199" s="11" t="s">
        <v>872</v>
      </c>
      <c r="G199" s="11" t="s">
        <v>895</v>
      </c>
      <c r="H199" s="11" t="s">
        <v>895</v>
      </c>
      <c r="I199" s="11" t="s">
        <v>896</v>
      </c>
      <c r="J199" s="29"/>
      <c r="K199" s="11"/>
    </row>
    <row r="200" spans="2:11" ht="52.9" customHeight="1" x14ac:dyDescent="0.3">
      <c r="B200" s="29">
        <v>195</v>
      </c>
      <c r="C200" s="11" t="s">
        <v>897</v>
      </c>
      <c r="D200" s="11" t="s">
        <v>120</v>
      </c>
      <c r="E200" s="11" t="s">
        <v>787</v>
      </c>
      <c r="F200" s="11" t="s">
        <v>872</v>
      </c>
      <c r="G200" s="11" t="s">
        <v>898</v>
      </c>
      <c r="H200" s="11" t="s">
        <v>898</v>
      </c>
      <c r="I200" s="11" t="s">
        <v>899</v>
      </c>
      <c r="J200" s="29"/>
      <c r="K200" s="11"/>
    </row>
    <row r="201" spans="2:11" ht="37.15" customHeight="1" x14ac:dyDescent="0.3">
      <c r="B201" s="29">
        <v>196</v>
      </c>
      <c r="C201" s="11" t="s">
        <v>900</v>
      </c>
      <c r="D201" s="11" t="s">
        <v>120</v>
      </c>
      <c r="E201" s="11" t="s">
        <v>787</v>
      </c>
      <c r="F201" s="11" t="s">
        <v>872</v>
      </c>
      <c r="G201" s="11" t="s">
        <v>836</v>
      </c>
      <c r="H201" s="11" t="s">
        <v>836</v>
      </c>
      <c r="I201" s="11" t="s">
        <v>901</v>
      </c>
      <c r="J201" s="29"/>
      <c r="K201" s="11"/>
    </row>
    <row r="202" spans="2:11" ht="37.15" customHeight="1" x14ac:dyDescent="0.3">
      <c r="B202" s="29">
        <v>197</v>
      </c>
      <c r="C202" s="11" t="s">
        <v>902</v>
      </c>
      <c r="D202" s="11" t="s">
        <v>120</v>
      </c>
      <c r="E202" s="11" t="s">
        <v>787</v>
      </c>
      <c r="F202" s="11" t="s">
        <v>872</v>
      </c>
      <c r="G202" s="11" t="s">
        <v>839</v>
      </c>
      <c r="H202" s="11" t="s">
        <v>839</v>
      </c>
      <c r="I202" s="11" t="s">
        <v>903</v>
      </c>
      <c r="J202" s="29"/>
      <c r="K202" s="11"/>
    </row>
    <row r="203" spans="2:11" ht="52.9" customHeight="1" x14ac:dyDescent="0.3">
      <c r="B203" s="34">
        <v>198</v>
      </c>
      <c r="C203" s="35" t="s">
        <v>904</v>
      </c>
      <c r="D203" s="35" t="s">
        <v>120</v>
      </c>
      <c r="E203" s="35" t="s">
        <v>787</v>
      </c>
      <c r="F203" s="35" t="s">
        <v>905</v>
      </c>
      <c r="G203" s="35" t="s">
        <v>906</v>
      </c>
      <c r="H203" s="35" t="s">
        <v>906</v>
      </c>
      <c r="I203" s="35" t="s">
        <v>907</v>
      </c>
      <c r="J203" s="34"/>
      <c r="K203" s="35"/>
    </row>
    <row r="204" spans="2:11" ht="37.15" customHeight="1" x14ac:dyDescent="0.3">
      <c r="B204" s="34">
        <v>199</v>
      </c>
      <c r="C204" s="35" t="s">
        <v>908</v>
      </c>
      <c r="D204" s="35" t="s">
        <v>120</v>
      </c>
      <c r="E204" s="35" t="s">
        <v>787</v>
      </c>
      <c r="F204" s="35" t="s">
        <v>905</v>
      </c>
      <c r="G204" s="35" t="s">
        <v>909</v>
      </c>
      <c r="H204" s="35" t="s">
        <v>909</v>
      </c>
      <c r="I204" s="35" t="s">
        <v>910</v>
      </c>
      <c r="J204" s="34"/>
      <c r="K204" s="35"/>
    </row>
    <row r="205" spans="2:11" ht="68.45" customHeight="1" x14ac:dyDescent="0.3">
      <c r="B205" s="34">
        <v>200</v>
      </c>
      <c r="C205" s="35" t="s">
        <v>911</v>
      </c>
      <c r="D205" s="35" t="s">
        <v>120</v>
      </c>
      <c r="E205" s="35" t="s">
        <v>787</v>
      </c>
      <c r="F205" s="35" t="s">
        <v>905</v>
      </c>
      <c r="G205" s="35" t="s">
        <v>912</v>
      </c>
      <c r="H205" s="35" t="s">
        <v>912</v>
      </c>
      <c r="I205" s="35" t="s">
        <v>913</v>
      </c>
      <c r="J205" s="34"/>
      <c r="K205" s="35"/>
    </row>
    <row r="206" spans="2:11" ht="37.15" customHeight="1" x14ac:dyDescent="0.3">
      <c r="B206" s="34">
        <v>201</v>
      </c>
      <c r="C206" s="35" t="s">
        <v>914</v>
      </c>
      <c r="D206" s="35" t="s">
        <v>120</v>
      </c>
      <c r="E206" s="35" t="s">
        <v>787</v>
      </c>
      <c r="F206" s="35" t="s">
        <v>905</v>
      </c>
      <c r="G206" s="35" t="s">
        <v>915</v>
      </c>
      <c r="H206" s="35" t="s">
        <v>916</v>
      </c>
      <c r="I206" s="35" t="s">
        <v>917</v>
      </c>
      <c r="J206" s="34"/>
      <c r="K206" s="35"/>
    </row>
    <row r="207" spans="2:11" ht="37.15" customHeight="1" x14ac:dyDescent="0.3">
      <c r="B207" s="34">
        <v>202</v>
      </c>
      <c r="C207" s="35" t="s">
        <v>918</v>
      </c>
      <c r="D207" s="35" t="s">
        <v>120</v>
      </c>
      <c r="E207" s="35" t="s">
        <v>787</v>
      </c>
      <c r="F207" s="35" t="s">
        <v>905</v>
      </c>
      <c r="G207" s="35" t="s">
        <v>919</v>
      </c>
      <c r="H207" s="35" t="s">
        <v>920</v>
      </c>
      <c r="I207" s="35" t="s">
        <v>921</v>
      </c>
      <c r="J207" s="34"/>
      <c r="K207" s="35"/>
    </row>
    <row r="208" spans="2:11" ht="37.15" customHeight="1" x14ac:dyDescent="0.3">
      <c r="B208" s="34">
        <v>203</v>
      </c>
      <c r="C208" s="35" t="s">
        <v>922</v>
      </c>
      <c r="D208" s="35" t="s">
        <v>120</v>
      </c>
      <c r="E208" s="35" t="s">
        <v>787</v>
      </c>
      <c r="F208" s="35" t="s">
        <v>905</v>
      </c>
      <c r="G208" s="35" t="s">
        <v>839</v>
      </c>
      <c r="H208" s="35" t="s">
        <v>839</v>
      </c>
      <c r="I208" s="35" t="s">
        <v>923</v>
      </c>
      <c r="J208" s="34"/>
      <c r="K208" s="35"/>
    </row>
    <row r="209" spans="2:11" ht="37.15" customHeight="1" x14ac:dyDescent="0.3">
      <c r="B209" s="34">
        <v>204</v>
      </c>
      <c r="C209" s="35" t="s">
        <v>924</v>
      </c>
      <c r="D209" s="35" t="s">
        <v>120</v>
      </c>
      <c r="E209" s="35" t="s">
        <v>787</v>
      </c>
      <c r="F209" s="35" t="s">
        <v>905</v>
      </c>
      <c r="G209" s="35" t="s">
        <v>925</v>
      </c>
      <c r="H209" s="35" t="s">
        <v>925</v>
      </c>
      <c r="I209" s="35" t="s">
        <v>926</v>
      </c>
      <c r="J209" s="34"/>
      <c r="K209" s="35"/>
    </row>
    <row r="210" spans="2:11" ht="37.15" customHeight="1" x14ac:dyDescent="0.3">
      <c r="B210" s="34">
        <v>205</v>
      </c>
      <c r="C210" s="35" t="s">
        <v>927</v>
      </c>
      <c r="D210" s="35" t="s">
        <v>120</v>
      </c>
      <c r="E210" s="35" t="s">
        <v>787</v>
      </c>
      <c r="F210" s="35" t="s">
        <v>905</v>
      </c>
      <c r="G210" s="35" t="s">
        <v>928</v>
      </c>
      <c r="H210" s="35" t="s">
        <v>928</v>
      </c>
      <c r="I210" s="35" t="s">
        <v>929</v>
      </c>
      <c r="J210" s="34"/>
      <c r="K210" s="35"/>
    </row>
    <row r="211" spans="2:11" ht="37.15" customHeight="1" x14ac:dyDescent="0.3">
      <c r="B211" s="34">
        <v>206</v>
      </c>
      <c r="C211" s="35" t="s">
        <v>930</v>
      </c>
      <c r="D211" s="35" t="s">
        <v>120</v>
      </c>
      <c r="E211" s="35" t="s">
        <v>787</v>
      </c>
      <c r="F211" s="35" t="s">
        <v>905</v>
      </c>
      <c r="G211" s="35" t="s">
        <v>931</v>
      </c>
      <c r="H211" s="35" t="s">
        <v>931</v>
      </c>
      <c r="I211" s="35" t="s">
        <v>932</v>
      </c>
      <c r="J211" s="34"/>
      <c r="K211" s="35"/>
    </row>
    <row r="212" spans="2:11" ht="52.9" customHeight="1" x14ac:dyDescent="0.3">
      <c r="B212" s="34">
        <v>207</v>
      </c>
      <c r="C212" s="35" t="s">
        <v>933</v>
      </c>
      <c r="D212" s="35" t="s">
        <v>120</v>
      </c>
      <c r="E212" s="35" t="s">
        <v>787</v>
      </c>
      <c r="F212" s="35" t="s">
        <v>905</v>
      </c>
      <c r="G212" s="35" t="s">
        <v>934</v>
      </c>
      <c r="H212" s="35" t="s">
        <v>934</v>
      </c>
      <c r="I212" s="35" t="s">
        <v>935</v>
      </c>
      <c r="J212" s="34"/>
      <c r="K212" s="35"/>
    </row>
    <row r="213" spans="2:11" ht="37.15" customHeight="1" x14ac:dyDescent="0.3">
      <c r="B213" s="34">
        <v>208</v>
      </c>
      <c r="C213" s="35" t="s">
        <v>936</v>
      </c>
      <c r="D213" s="35" t="s">
        <v>120</v>
      </c>
      <c r="E213" s="35" t="s">
        <v>787</v>
      </c>
      <c r="F213" s="35" t="s">
        <v>905</v>
      </c>
      <c r="G213" s="35" t="s">
        <v>836</v>
      </c>
      <c r="H213" s="35" t="s">
        <v>836</v>
      </c>
      <c r="I213" s="35" t="s">
        <v>937</v>
      </c>
      <c r="J213" s="34"/>
      <c r="K213" s="35"/>
    </row>
  </sheetData>
  <autoFilter ref="B5:K213" xr:uid="{00000000-0009-0000-0000-000003000000}"/>
  <mergeCells count="1">
    <mergeCell ref="B3:K3"/>
  </mergeCells>
  <phoneticPr fontId="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FBFBF"/>
  </sheetPr>
  <dimension ref="B2:L24"/>
  <sheetViews>
    <sheetView showGridLines="0" workbookViewId="0">
      <selection activeCell="K14" sqref="K14"/>
    </sheetView>
  </sheetViews>
  <sheetFormatPr defaultRowHeight="16.5" x14ac:dyDescent="0.3"/>
  <cols>
    <col min="2" max="7" width="21" customWidth="1"/>
    <col min="9" max="9" width="21" customWidth="1"/>
    <col min="11" max="11" width="22" customWidth="1"/>
    <col min="12" max="12" width="14" customWidth="1"/>
  </cols>
  <sheetData>
    <row r="2" spans="2:12" ht="27.2" customHeight="1" x14ac:dyDescent="0.3">
      <c r="B2" s="46" t="s">
        <v>938</v>
      </c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2:12" ht="27.2" customHeight="1" x14ac:dyDescent="0.3">
      <c r="B3" s="47" t="s">
        <v>939</v>
      </c>
      <c r="C3" s="41"/>
      <c r="D3" s="41"/>
      <c r="E3" s="41"/>
      <c r="F3" s="41"/>
      <c r="G3" s="41"/>
      <c r="H3" s="41"/>
      <c r="I3" s="41"/>
      <c r="J3" s="41"/>
      <c r="K3" s="41"/>
      <c r="L3" s="41"/>
    </row>
    <row r="4" spans="2:12" ht="61.5" customHeight="1" x14ac:dyDescent="0.3">
      <c r="B4" s="19" t="s">
        <v>940</v>
      </c>
      <c r="C4" s="19" t="s">
        <v>941</v>
      </c>
      <c r="D4" s="19" t="s">
        <v>942</v>
      </c>
      <c r="E4" s="19" t="s">
        <v>108</v>
      </c>
      <c r="F4" s="19" t="s">
        <v>31</v>
      </c>
      <c r="G4" s="19" t="s">
        <v>943</v>
      </c>
      <c r="I4" s="19" t="s">
        <v>103</v>
      </c>
      <c r="K4" s="7" t="s">
        <v>940</v>
      </c>
      <c r="L4" s="7" t="s">
        <v>944</v>
      </c>
    </row>
    <row r="5" spans="2:12" ht="27.2" customHeight="1" x14ac:dyDescent="0.3">
      <c r="B5" s="36" t="s">
        <v>945</v>
      </c>
      <c r="C5" s="36" t="s">
        <v>46</v>
      </c>
      <c r="D5" s="36" t="s">
        <v>946</v>
      </c>
      <c r="E5" s="36" t="s">
        <v>145</v>
      </c>
      <c r="F5" s="36" t="s">
        <v>947</v>
      </c>
      <c r="G5" s="36" t="s">
        <v>126</v>
      </c>
      <c r="I5" s="36" t="s">
        <v>948</v>
      </c>
      <c r="K5" s="6" t="s">
        <v>945</v>
      </c>
      <c r="L5" s="6">
        <v>250</v>
      </c>
    </row>
    <row r="6" spans="2:12" ht="27.2" customHeight="1" x14ac:dyDescent="0.3">
      <c r="B6" s="36" t="s">
        <v>949</v>
      </c>
      <c r="C6" s="36" t="s">
        <v>950</v>
      </c>
      <c r="D6" s="36" t="s">
        <v>130</v>
      </c>
      <c r="E6" s="36" t="s">
        <v>152</v>
      </c>
      <c r="F6" s="36" t="s">
        <v>32</v>
      </c>
      <c r="G6" s="36" t="s">
        <v>46</v>
      </c>
      <c r="I6" s="36" t="s">
        <v>950</v>
      </c>
      <c r="K6" s="6" t="s">
        <v>949</v>
      </c>
      <c r="L6" s="6">
        <v>12</v>
      </c>
    </row>
    <row r="7" spans="2:12" ht="27.2" customHeight="1" x14ac:dyDescent="0.3">
      <c r="B7" s="36" t="s">
        <v>951</v>
      </c>
      <c r="C7" s="36" t="s">
        <v>952</v>
      </c>
      <c r="D7" s="36" t="s">
        <v>150</v>
      </c>
      <c r="E7" s="36" t="s">
        <v>133</v>
      </c>
      <c r="F7" s="36" t="s">
        <v>953</v>
      </c>
      <c r="G7" s="36" t="s">
        <v>144</v>
      </c>
      <c r="I7" s="36" t="s">
        <v>954</v>
      </c>
      <c r="K7" s="6" t="s">
        <v>951</v>
      </c>
      <c r="L7" s="6">
        <v>52</v>
      </c>
    </row>
    <row r="8" spans="2:12" ht="27.2" customHeight="1" x14ac:dyDescent="0.3">
      <c r="B8" s="36" t="s">
        <v>955</v>
      </c>
      <c r="C8" s="36" t="s">
        <v>956</v>
      </c>
      <c r="D8" s="36" t="s">
        <v>957</v>
      </c>
      <c r="F8" s="36" t="s">
        <v>958</v>
      </c>
      <c r="G8" s="36" t="s">
        <v>266</v>
      </c>
      <c r="I8" s="36" t="s">
        <v>959</v>
      </c>
      <c r="K8" s="6" t="s">
        <v>955</v>
      </c>
      <c r="L8" s="6">
        <v>0</v>
      </c>
    </row>
    <row r="9" spans="2:12" ht="27.2" customHeight="1" x14ac:dyDescent="0.3">
      <c r="C9" s="36" t="s">
        <v>65</v>
      </c>
      <c r="F9" s="36" t="s">
        <v>960</v>
      </c>
      <c r="G9" s="36" t="s">
        <v>65</v>
      </c>
      <c r="I9" s="36" t="s">
        <v>961</v>
      </c>
    </row>
    <row r="10" spans="2:12" ht="27.2" customHeight="1" x14ac:dyDescent="0.3">
      <c r="F10" s="36" t="s">
        <v>962</v>
      </c>
      <c r="I10" s="36" t="s">
        <v>132</v>
      </c>
      <c r="K10" s="7" t="s">
        <v>963</v>
      </c>
      <c r="L10" s="7" t="s">
        <v>964</v>
      </c>
    </row>
    <row r="11" spans="2:12" ht="27.2" customHeight="1" x14ac:dyDescent="0.3">
      <c r="I11" s="36" t="s">
        <v>235</v>
      </c>
      <c r="K11" s="6" t="s">
        <v>965</v>
      </c>
      <c r="L11" s="6">
        <v>2000</v>
      </c>
    </row>
    <row r="12" spans="2:12" ht="27.2" customHeight="1" x14ac:dyDescent="0.3">
      <c r="I12" s="36" t="s">
        <v>966</v>
      </c>
    </row>
    <row r="13" spans="2:12" ht="27.2" customHeight="1" x14ac:dyDescent="0.3">
      <c r="I13" s="36" t="s">
        <v>129</v>
      </c>
    </row>
    <row r="14" spans="2:12" ht="78.75" customHeight="1" x14ac:dyDescent="0.3">
      <c r="I14" s="36" t="s">
        <v>142</v>
      </c>
      <c r="K14" s="6" t="s">
        <v>967</v>
      </c>
    </row>
    <row r="15" spans="2:12" ht="61.5" customHeight="1" x14ac:dyDescent="0.3">
      <c r="I15" s="36" t="s">
        <v>956</v>
      </c>
      <c r="K15" s="6" t="s">
        <v>968</v>
      </c>
    </row>
    <row r="16" spans="2:12" ht="61.5" customHeight="1" x14ac:dyDescent="0.3">
      <c r="I16" s="36" t="s">
        <v>65</v>
      </c>
      <c r="K16" s="6" t="s">
        <v>969</v>
      </c>
    </row>
    <row r="17" spans="9:9" ht="27.2" customHeight="1" x14ac:dyDescent="0.3">
      <c r="I17" t="s">
        <v>970</v>
      </c>
    </row>
    <row r="18" spans="9:9" x14ac:dyDescent="0.3">
      <c r="I18" t="s">
        <v>971</v>
      </c>
    </row>
    <row r="19" spans="9:9" x14ac:dyDescent="0.3">
      <c r="I19" t="s">
        <v>972</v>
      </c>
    </row>
    <row r="20" spans="9:9" x14ac:dyDescent="0.3">
      <c r="I20" t="s">
        <v>973</v>
      </c>
    </row>
    <row r="21" spans="9:9" x14ac:dyDescent="0.3">
      <c r="I21" t="s">
        <v>974</v>
      </c>
    </row>
    <row r="22" spans="9:9" x14ac:dyDescent="0.3">
      <c r="I22" t="s">
        <v>975</v>
      </c>
    </row>
    <row r="23" spans="9:9" x14ac:dyDescent="0.3">
      <c r="I23" t="s">
        <v>976</v>
      </c>
    </row>
    <row r="24" spans="9:9" x14ac:dyDescent="0.3">
      <c r="I24" t="s">
        <v>977</v>
      </c>
    </row>
  </sheetData>
  <mergeCells count="2">
    <mergeCell ref="B2:L2"/>
    <mergeCell ref="B3:L3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00.사용안내</vt:lpstr>
      <vt:lpstr>01.과제 개요</vt:lpstr>
      <vt:lpstr>02.L6 세분화</vt:lpstr>
      <vt:lpstr>03.전체 프로세스 목록</vt:lpstr>
      <vt:lpstr>04.코드표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S1SECOM</cp:lastModifiedBy>
  <dcterms:created xsi:type="dcterms:W3CDTF">2026-08-13T07:52:46Z</dcterms:created>
  <dcterms:modified xsi:type="dcterms:W3CDTF">2026-08-21T05:33:57Z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